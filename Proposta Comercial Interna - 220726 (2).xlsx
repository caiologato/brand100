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aiologato/Library/Mobile Documents/com~apple~CloudDocs/Downloads/"/>
    </mc:Choice>
  </mc:AlternateContent>
  <xr:revisionPtr revIDLastSave="0" documentId="13_ncr:1_{1EE83928-A9B8-5C48-A53B-1070C648DD99}" xr6:coauthVersionLast="47" xr6:coauthVersionMax="47" xr10:uidLastSave="{00000000-0000-0000-0000-000000000000}"/>
  <bookViews>
    <workbookView xWindow="0" yWindow="780" windowWidth="34200" windowHeight="20300" activeTab="1" xr2:uid="{00000000-000D-0000-FFFF-FFFF00000000}"/>
  </bookViews>
  <sheets>
    <sheet name="CM DOOH - Proposta (interna)" sheetId="8" state="hidden" r:id="rId1"/>
    <sheet name="Proposta DOOH - Simulador" sheetId="10" r:id="rId2"/>
  </sheets>
  <definedNames>
    <definedName name="_xlnm._FilterDatabase" localSheetId="0" hidden="1">'CM DOOH - Proposta (interna)'!$A$6:$AI$52</definedName>
    <definedName name="_xlnm._FilterDatabase" localSheetId="1" hidden="1">'Proposta DOOH - Simulador'!$B$6:$AN$106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6" i="10" l="1"/>
  <c r="AB106" i="10" l="1"/>
  <c r="AC7" i="10"/>
  <c r="AC8" i="10"/>
  <c r="Q5" i="10"/>
  <c r="X5" i="10"/>
  <c r="R7" i="10"/>
  <c r="T7" i="10"/>
  <c r="Y7" i="10" s="1"/>
  <c r="AE7" i="10"/>
  <c r="AG7" i="10"/>
  <c r="AM7" i="10"/>
  <c r="R8" i="10"/>
  <c r="T8" i="10"/>
  <c r="AB8" i="10" s="1"/>
  <c r="AE8" i="10"/>
  <c r="AG8" i="10"/>
  <c r="AM8" i="10"/>
  <c r="R9" i="10"/>
  <c r="T9" i="10"/>
  <c r="AB9" i="10" s="1"/>
  <c r="AC9" i="10"/>
  <c r="AF9" i="10" s="1"/>
  <c r="AE9" i="10"/>
  <c r="AG9" i="10"/>
  <c r="AM9" i="10"/>
  <c r="R10" i="10"/>
  <c r="T10" i="10"/>
  <c r="AB10" i="10" s="1"/>
  <c r="AC10" i="10"/>
  <c r="AE10" i="10"/>
  <c r="AG10" i="10"/>
  <c r="AM10" i="10"/>
  <c r="R11" i="10"/>
  <c r="T11" i="10"/>
  <c r="AC11" i="10"/>
  <c r="AE11" i="10"/>
  <c r="AG11" i="10"/>
  <c r="AM11" i="10"/>
  <c r="R12" i="10"/>
  <c r="T12" i="10"/>
  <c r="AB12" i="10" s="1"/>
  <c r="AC12" i="10"/>
  <c r="AE12" i="10"/>
  <c r="AF12" i="10" s="1"/>
  <c r="AG12" i="10"/>
  <c r="AM12" i="10"/>
  <c r="R13" i="10"/>
  <c r="T13" i="10"/>
  <c r="AB13" i="10" s="1"/>
  <c r="Y13" i="10"/>
  <c r="AC13" i="10"/>
  <c r="AE13" i="10"/>
  <c r="AG13" i="10"/>
  <c r="AM13" i="10"/>
  <c r="R14" i="10"/>
  <c r="T14" i="10"/>
  <c r="AB14" i="10" s="1"/>
  <c r="AC14" i="10"/>
  <c r="AF14" i="10" s="1"/>
  <c r="AE14" i="10"/>
  <c r="AG14" i="10"/>
  <c r="AM14" i="10"/>
  <c r="R15" i="10"/>
  <c r="T15" i="10"/>
  <c r="AB15" i="10" s="1"/>
  <c r="AC15" i="10"/>
  <c r="AF15" i="10" s="1"/>
  <c r="AE15" i="10"/>
  <c r="AG15" i="10"/>
  <c r="AM15" i="10"/>
  <c r="R16" i="10"/>
  <c r="T16" i="10"/>
  <c r="AB16" i="10" s="1"/>
  <c r="AC16" i="10"/>
  <c r="AE16" i="10"/>
  <c r="AG16" i="10"/>
  <c r="AM16" i="10"/>
  <c r="R17" i="10"/>
  <c r="T17" i="10"/>
  <c r="AC17" i="10"/>
  <c r="AF17" i="10" s="1"/>
  <c r="AE17" i="10"/>
  <c r="AG17" i="10"/>
  <c r="AM17" i="10"/>
  <c r="R18" i="10"/>
  <c r="T18" i="10"/>
  <c r="AB18" i="10" s="1"/>
  <c r="AC18" i="10"/>
  <c r="AE18" i="10"/>
  <c r="AF18" i="10" s="1"/>
  <c r="AG18" i="10"/>
  <c r="AM18" i="10"/>
  <c r="R19" i="10"/>
  <c r="T19" i="10"/>
  <c r="Y19" i="10" s="1"/>
  <c r="AC19" i="10"/>
  <c r="AE19" i="10"/>
  <c r="AG19" i="10"/>
  <c r="AM19" i="10"/>
  <c r="R20" i="10"/>
  <c r="T20" i="10"/>
  <c r="AB20" i="10" s="1"/>
  <c r="AC20" i="10"/>
  <c r="AE20" i="10"/>
  <c r="AG20" i="10"/>
  <c r="AM20" i="10"/>
  <c r="R21" i="10"/>
  <c r="T21" i="10"/>
  <c r="Y21" i="10" s="1"/>
  <c r="AC21" i="10"/>
  <c r="AE21" i="10"/>
  <c r="AG21" i="10"/>
  <c r="AM21" i="10"/>
  <c r="R22" i="10"/>
  <c r="T22" i="10"/>
  <c r="AC22" i="10"/>
  <c r="AE22" i="10"/>
  <c r="AG22" i="10"/>
  <c r="AM22" i="10"/>
  <c r="R23" i="10"/>
  <c r="T23" i="10"/>
  <c r="AC23" i="10"/>
  <c r="AE23" i="10"/>
  <c r="AG23" i="10"/>
  <c r="AM23" i="10"/>
  <c r="R24" i="10"/>
  <c r="T24" i="10"/>
  <c r="AC24" i="10"/>
  <c r="AE24" i="10"/>
  <c r="AG24" i="10"/>
  <c r="AM24" i="10"/>
  <c r="R25" i="10"/>
  <c r="T25" i="10"/>
  <c r="AC25" i="10"/>
  <c r="AF25" i="10" s="1"/>
  <c r="AE25" i="10"/>
  <c r="AG25" i="10"/>
  <c r="AM25" i="10"/>
  <c r="R26" i="10"/>
  <c r="T26" i="10"/>
  <c r="AB26" i="10" s="1"/>
  <c r="AC26" i="10"/>
  <c r="AF26" i="10" s="1"/>
  <c r="AN26" i="10" s="1"/>
  <c r="AE26" i="10"/>
  <c r="AG26" i="10"/>
  <c r="AM26" i="10"/>
  <c r="R27" i="10"/>
  <c r="T27" i="10"/>
  <c r="AB27" i="10" s="1"/>
  <c r="Y27" i="10"/>
  <c r="AC27" i="10"/>
  <c r="AE27" i="10"/>
  <c r="AG27" i="10"/>
  <c r="AM27" i="10"/>
  <c r="R28" i="10"/>
  <c r="T28" i="10"/>
  <c r="AC28" i="10"/>
  <c r="AF28" i="10" s="1"/>
  <c r="AJ28" i="10" s="1"/>
  <c r="AE28" i="10"/>
  <c r="AG28" i="10"/>
  <c r="AM28" i="10"/>
  <c r="R29" i="10"/>
  <c r="T29" i="10"/>
  <c r="AB29" i="10" s="1"/>
  <c r="AC29" i="10"/>
  <c r="AF29" i="10" s="1"/>
  <c r="AN29" i="10" s="1"/>
  <c r="AE29" i="10"/>
  <c r="AG29" i="10"/>
  <c r="AM29" i="10"/>
  <c r="R30" i="10"/>
  <c r="T30" i="10"/>
  <c r="AB30" i="10" s="1"/>
  <c r="AC30" i="10"/>
  <c r="AF30" i="10" s="1"/>
  <c r="AE30" i="10"/>
  <c r="AG30" i="10"/>
  <c r="AM30" i="10"/>
  <c r="R31" i="10"/>
  <c r="T31" i="10"/>
  <c r="AC31" i="10"/>
  <c r="AF31" i="10" s="1"/>
  <c r="AH31" i="10" s="1"/>
  <c r="AE31" i="10"/>
  <c r="AG31" i="10"/>
  <c r="AM31" i="10"/>
  <c r="R32" i="10"/>
  <c r="T32" i="10"/>
  <c r="AB32" i="10" s="1"/>
  <c r="AC32" i="10"/>
  <c r="AE32" i="10"/>
  <c r="AG32" i="10"/>
  <c r="AM32" i="10"/>
  <c r="R33" i="10"/>
  <c r="T33" i="10"/>
  <c r="AC33" i="10"/>
  <c r="AE33" i="10"/>
  <c r="AG33" i="10"/>
  <c r="AM33" i="10"/>
  <c r="R34" i="10"/>
  <c r="T34" i="10"/>
  <c r="AB34" i="10" s="1"/>
  <c r="AC34" i="10"/>
  <c r="AE34" i="10"/>
  <c r="AG34" i="10"/>
  <c r="AM34" i="10"/>
  <c r="R35" i="10"/>
  <c r="T35" i="10"/>
  <c r="AB35" i="10" s="1"/>
  <c r="AC35" i="10"/>
  <c r="AE35" i="10"/>
  <c r="AG35" i="10"/>
  <c r="AM35" i="10"/>
  <c r="R36" i="10"/>
  <c r="T36" i="10"/>
  <c r="AB36" i="10" s="1"/>
  <c r="Y36" i="10"/>
  <c r="AC36" i="10"/>
  <c r="AF36" i="10" s="1"/>
  <c r="AE36" i="10"/>
  <c r="AG36" i="10"/>
  <c r="AM36" i="10"/>
  <c r="R37" i="10"/>
  <c r="T37" i="10"/>
  <c r="AB37" i="10" s="1"/>
  <c r="AC37" i="10"/>
  <c r="AF37" i="10" s="1"/>
  <c r="AE37" i="10"/>
  <c r="AG37" i="10"/>
  <c r="AM37" i="10"/>
  <c r="R38" i="10"/>
  <c r="T38" i="10"/>
  <c r="AB38" i="10" s="1"/>
  <c r="AC38" i="10"/>
  <c r="AE38" i="10"/>
  <c r="AG38" i="10"/>
  <c r="AM38" i="10"/>
  <c r="R39" i="10"/>
  <c r="T39" i="10"/>
  <c r="AC39" i="10"/>
  <c r="AF39" i="10" s="1"/>
  <c r="AE39" i="10"/>
  <c r="AG39" i="10"/>
  <c r="AM39" i="10"/>
  <c r="R40" i="10"/>
  <c r="T40" i="10"/>
  <c r="AB40" i="10" s="1"/>
  <c r="AC40" i="10"/>
  <c r="AE40" i="10"/>
  <c r="AG40" i="10"/>
  <c r="AM40" i="10"/>
  <c r="R41" i="10"/>
  <c r="T41" i="10"/>
  <c r="Y41" i="10"/>
  <c r="AC41" i="10"/>
  <c r="AE41" i="10"/>
  <c r="AG41" i="10"/>
  <c r="AM41" i="10"/>
  <c r="R42" i="10"/>
  <c r="T42" i="10"/>
  <c r="AB42" i="10" s="1"/>
  <c r="Y42" i="10"/>
  <c r="AC42" i="10"/>
  <c r="AE42" i="10"/>
  <c r="AG42" i="10"/>
  <c r="AM42" i="10"/>
  <c r="R43" i="10"/>
  <c r="T43" i="10"/>
  <c r="AB43" i="10" s="1"/>
  <c r="AC43" i="10"/>
  <c r="AE43" i="10"/>
  <c r="AG43" i="10"/>
  <c r="AM43" i="10"/>
  <c r="R44" i="10"/>
  <c r="T44" i="10"/>
  <c r="AB44" i="10" s="1"/>
  <c r="AC44" i="10"/>
  <c r="AE44" i="10"/>
  <c r="AG44" i="10"/>
  <c r="AM44" i="10"/>
  <c r="R45" i="10"/>
  <c r="T45" i="10"/>
  <c r="AC45" i="10"/>
  <c r="AE45" i="10"/>
  <c r="AG45" i="10"/>
  <c r="AM45" i="10"/>
  <c r="R46" i="10"/>
  <c r="T46" i="10"/>
  <c r="AC46" i="10"/>
  <c r="AE46" i="10"/>
  <c r="AG46" i="10"/>
  <c r="AM46" i="10"/>
  <c r="R47" i="10"/>
  <c r="T47" i="10"/>
  <c r="AC47" i="10"/>
  <c r="AE47" i="10"/>
  <c r="AF47" i="10"/>
  <c r="AG47" i="10"/>
  <c r="AH47" i="10"/>
  <c r="AM47" i="10"/>
  <c r="R48" i="10"/>
  <c r="T48" i="10"/>
  <c r="AB48" i="10" s="1"/>
  <c r="AC48" i="10"/>
  <c r="AF48" i="10" s="1"/>
  <c r="AN48" i="10" s="1"/>
  <c r="AE48" i="10"/>
  <c r="AG48" i="10"/>
  <c r="AM48" i="10"/>
  <c r="R49" i="10"/>
  <c r="T49" i="10"/>
  <c r="AB49" i="10" s="1"/>
  <c r="AC49" i="10"/>
  <c r="AE49" i="10"/>
  <c r="AG49" i="10"/>
  <c r="AM49" i="10"/>
  <c r="R50" i="10"/>
  <c r="T50" i="10"/>
  <c r="AC50" i="10"/>
  <c r="AE50" i="10"/>
  <c r="AF50" i="10"/>
  <c r="AJ50" i="10" s="1"/>
  <c r="AG50" i="10"/>
  <c r="AM50" i="10"/>
  <c r="R51" i="10"/>
  <c r="T51" i="10"/>
  <c r="Y51" i="10" s="1"/>
  <c r="AC51" i="10"/>
  <c r="AF51" i="10" s="1"/>
  <c r="AE51" i="10"/>
  <c r="AG51" i="10"/>
  <c r="AM51" i="10"/>
  <c r="R52" i="10"/>
  <c r="T52" i="10"/>
  <c r="AC52" i="10"/>
  <c r="AE52" i="10"/>
  <c r="AG52" i="10"/>
  <c r="AM52" i="10"/>
  <c r="R53" i="10"/>
  <c r="T53" i="10"/>
  <c r="AC53" i="10"/>
  <c r="AF53" i="10" s="1"/>
  <c r="AE53" i="10"/>
  <c r="AG53" i="10"/>
  <c r="AM53" i="10"/>
  <c r="R54" i="10"/>
  <c r="T54" i="10"/>
  <c r="AB54" i="10" s="1"/>
  <c r="AC54" i="10"/>
  <c r="AE54" i="10"/>
  <c r="AF54" i="10" s="1"/>
  <c r="AG54" i="10"/>
  <c r="AM54" i="10"/>
  <c r="R55" i="10"/>
  <c r="T55" i="10"/>
  <c r="AC55" i="10"/>
  <c r="AE55" i="10"/>
  <c r="AG55" i="10"/>
  <c r="AM55" i="10"/>
  <c r="R56" i="10"/>
  <c r="T56" i="10"/>
  <c r="AB56" i="10" s="1"/>
  <c r="AC56" i="10"/>
  <c r="AE56" i="10"/>
  <c r="AF56" i="10" s="1"/>
  <c r="AG56" i="10"/>
  <c r="AM56" i="10"/>
  <c r="R57" i="10"/>
  <c r="T57" i="10"/>
  <c r="AB57" i="10" s="1"/>
  <c r="AC57" i="10"/>
  <c r="AE57" i="10"/>
  <c r="AG57" i="10"/>
  <c r="AM57" i="10"/>
  <c r="R58" i="10"/>
  <c r="T58" i="10"/>
  <c r="Y58" i="10"/>
  <c r="AC58" i="10"/>
  <c r="AF58" i="10" s="1"/>
  <c r="AE58" i="10"/>
  <c r="AG58" i="10"/>
  <c r="AM58" i="10"/>
  <c r="R59" i="10"/>
  <c r="T59" i="10"/>
  <c r="AB59" i="10" s="1"/>
  <c r="Y59" i="10"/>
  <c r="AC59" i="10"/>
  <c r="AE59" i="10"/>
  <c r="AF59" i="10"/>
  <c r="AN59" i="10" s="1"/>
  <c r="AG59" i="10"/>
  <c r="AM59" i="10"/>
  <c r="R60" i="10"/>
  <c r="T60" i="10"/>
  <c r="AB60" i="10" s="1"/>
  <c r="AC60" i="10"/>
  <c r="AE60" i="10"/>
  <c r="AG60" i="10"/>
  <c r="AM60" i="10"/>
  <c r="R61" i="10"/>
  <c r="T61" i="10"/>
  <c r="AC61" i="10"/>
  <c r="AE61" i="10"/>
  <c r="AF61" i="10"/>
  <c r="AJ61" i="10" s="1"/>
  <c r="AG61" i="10"/>
  <c r="AM61" i="10"/>
  <c r="R62" i="10"/>
  <c r="T62" i="10"/>
  <c r="Y62" i="10"/>
  <c r="AC62" i="10"/>
  <c r="AE62" i="10"/>
  <c r="AG62" i="10"/>
  <c r="AM62" i="10"/>
  <c r="R63" i="10"/>
  <c r="T63" i="10"/>
  <c r="AB63" i="10" s="1"/>
  <c r="AC63" i="10"/>
  <c r="AE63" i="10"/>
  <c r="AG63" i="10"/>
  <c r="AM63" i="10"/>
  <c r="R64" i="10"/>
  <c r="T64" i="10"/>
  <c r="Y64" i="10" s="1"/>
  <c r="AC64" i="10"/>
  <c r="AE64" i="10"/>
  <c r="AG64" i="10"/>
  <c r="AM64" i="10"/>
  <c r="R65" i="10"/>
  <c r="T65" i="10"/>
  <c r="AB65" i="10" s="1"/>
  <c r="Y65" i="10"/>
  <c r="AC65" i="10"/>
  <c r="AE65" i="10"/>
  <c r="AG65" i="10"/>
  <c r="AM65" i="10"/>
  <c r="R66" i="10"/>
  <c r="T66" i="10"/>
  <c r="AC66" i="10"/>
  <c r="AE66" i="10"/>
  <c r="AG66" i="10"/>
  <c r="AM66" i="10"/>
  <c r="R67" i="10"/>
  <c r="T67" i="10"/>
  <c r="AC67" i="10"/>
  <c r="AE67" i="10"/>
  <c r="AG67" i="10"/>
  <c r="AM67" i="10"/>
  <c r="R68" i="10"/>
  <c r="T68" i="10"/>
  <c r="AB68" i="10" s="1"/>
  <c r="Y68" i="10"/>
  <c r="AC68" i="10"/>
  <c r="AF68" i="10" s="1"/>
  <c r="AE68" i="10"/>
  <c r="AG68" i="10"/>
  <c r="AM68" i="10"/>
  <c r="R69" i="10"/>
  <c r="T69" i="10"/>
  <c r="AC69" i="10"/>
  <c r="AF69" i="10" s="1"/>
  <c r="AE69" i="10"/>
  <c r="AG69" i="10"/>
  <c r="AM69" i="10"/>
  <c r="R70" i="10"/>
  <c r="T70" i="10"/>
  <c r="AB70" i="10" s="1"/>
  <c r="AC70" i="10"/>
  <c r="AF70" i="10" s="1"/>
  <c r="AN70" i="10" s="1"/>
  <c r="AE70" i="10"/>
  <c r="AG70" i="10"/>
  <c r="AM70" i="10"/>
  <c r="R71" i="10"/>
  <c r="T71" i="10"/>
  <c r="AB71" i="10" s="1"/>
  <c r="AC71" i="10"/>
  <c r="AE71" i="10"/>
  <c r="AG71" i="10"/>
  <c r="AM71" i="10"/>
  <c r="R72" i="10"/>
  <c r="T72" i="10"/>
  <c r="AC72" i="10"/>
  <c r="AE72" i="10"/>
  <c r="AF72" i="10"/>
  <c r="AG72" i="10"/>
  <c r="AM72" i="10"/>
  <c r="R73" i="10"/>
  <c r="T73" i="10"/>
  <c r="AB73" i="10" s="1"/>
  <c r="AC73" i="10"/>
  <c r="AF73" i="10" s="1"/>
  <c r="AE73" i="10"/>
  <c r="AG73" i="10"/>
  <c r="AM73" i="10"/>
  <c r="R74" i="10"/>
  <c r="T74" i="10"/>
  <c r="AB74" i="10" s="1"/>
  <c r="AC74" i="10"/>
  <c r="AE74" i="10"/>
  <c r="AG74" i="10"/>
  <c r="AM74" i="10"/>
  <c r="R75" i="10"/>
  <c r="T75" i="10"/>
  <c r="AB75" i="10" s="1"/>
  <c r="AC75" i="10"/>
  <c r="AF75" i="10" s="1"/>
  <c r="AH75" i="10" s="1"/>
  <c r="AE75" i="10"/>
  <c r="AG75" i="10"/>
  <c r="AM75" i="10"/>
  <c r="R76" i="10"/>
  <c r="T76" i="10"/>
  <c r="AC76" i="10"/>
  <c r="AE76" i="10"/>
  <c r="AF76" i="10" s="1"/>
  <c r="AG76" i="10"/>
  <c r="AM76" i="10"/>
  <c r="R77" i="10"/>
  <c r="T77" i="10"/>
  <c r="AC77" i="10"/>
  <c r="AE77" i="10"/>
  <c r="AF77" i="10" s="1"/>
  <c r="AG77" i="10"/>
  <c r="AM77" i="10"/>
  <c r="R78" i="10"/>
  <c r="T78" i="10"/>
  <c r="AB78" i="10" s="1"/>
  <c r="AC78" i="10"/>
  <c r="AF78" i="10" s="1"/>
  <c r="AE78" i="10"/>
  <c r="AG78" i="10"/>
  <c r="AM78" i="10"/>
  <c r="R79" i="10"/>
  <c r="T79" i="10"/>
  <c r="Y79" i="10"/>
  <c r="AC79" i="10"/>
  <c r="AE79" i="10"/>
  <c r="AG79" i="10"/>
  <c r="AM79" i="10"/>
  <c r="R80" i="10"/>
  <c r="T80" i="10"/>
  <c r="AB80" i="10" s="1"/>
  <c r="AC80" i="10"/>
  <c r="AE80" i="10"/>
  <c r="AG80" i="10"/>
  <c r="AM80" i="10"/>
  <c r="R81" i="10"/>
  <c r="T81" i="10"/>
  <c r="Y81" i="10" s="1"/>
  <c r="AC81" i="10"/>
  <c r="AF81" i="10" s="1"/>
  <c r="AN81" i="10" s="1"/>
  <c r="AE81" i="10"/>
  <c r="AG81" i="10"/>
  <c r="AM81" i="10"/>
  <c r="R82" i="10"/>
  <c r="T82" i="10"/>
  <c r="AB82" i="10" s="1"/>
  <c r="AC82" i="10"/>
  <c r="AE82" i="10"/>
  <c r="AG82" i="10"/>
  <c r="AM82" i="10"/>
  <c r="R83" i="10"/>
  <c r="T83" i="10"/>
  <c r="AC83" i="10"/>
  <c r="AF83" i="10" s="1"/>
  <c r="AJ83" i="10" s="1"/>
  <c r="AE83" i="10"/>
  <c r="AG83" i="10"/>
  <c r="AM83" i="10"/>
  <c r="R84" i="10"/>
  <c r="T84" i="10"/>
  <c r="AB84" i="10" s="1"/>
  <c r="AC84" i="10"/>
  <c r="AE84" i="10"/>
  <c r="AG84" i="10"/>
  <c r="AM84" i="10"/>
  <c r="R85" i="10"/>
  <c r="T85" i="10"/>
  <c r="AB85" i="10" s="1"/>
  <c r="AC85" i="10"/>
  <c r="AE85" i="10"/>
  <c r="AG85" i="10"/>
  <c r="AM85" i="10"/>
  <c r="R86" i="10"/>
  <c r="T86" i="10"/>
  <c r="AB86" i="10" s="1"/>
  <c r="AC86" i="10"/>
  <c r="AE86" i="10"/>
  <c r="AG86" i="10"/>
  <c r="AM86" i="10"/>
  <c r="R87" i="10"/>
  <c r="T87" i="10"/>
  <c r="Y87" i="10" s="1"/>
  <c r="AC87" i="10"/>
  <c r="AE87" i="10"/>
  <c r="AG87" i="10"/>
  <c r="AM87" i="10"/>
  <c r="R88" i="10"/>
  <c r="T88" i="10"/>
  <c r="AC88" i="10"/>
  <c r="AE88" i="10"/>
  <c r="AG88" i="10"/>
  <c r="AM88" i="10"/>
  <c r="R89" i="10"/>
  <c r="T89" i="10"/>
  <c r="AC89" i="10"/>
  <c r="AE89" i="10"/>
  <c r="AG89" i="10"/>
  <c r="AM89" i="10"/>
  <c r="R90" i="10"/>
  <c r="T90" i="10"/>
  <c r="AB90" i="10" s="1"/>
  <c r="AC90" i="10"/>
  <c r="AE90" i="10"/>
  <c r="AF90" i="10"/>
  <c r="AG90" i="10"/>
  <c r="AM90" i="10"/>
  <c r="R91" i="10"/>
  <c r="T91" i="10"/>
  <c r="AC91" i="10"/>
  <c r="AF91" i="10" s="1"/>
  <c r="AE91" i="10"/>
  <c r="AG91" i="10"/>
  <c r="AM91" i="10"/>
  <c r="R92" i="10"/>
  <c r="T92" i="10"/>
  <c r="AB92" i="10" s="1"/>
  <c r="Y92" i="10"/>
  <c r="AC92" i="10"/>
  <c r="AF92" i="10" s="1"/>
  <c r="AN92" i="10" s="1"/>
  <c r="AE92" i="10"/>
  <c r="AG92" i="10"/>
  <c r="AM92" i="10"/>
  <c r="R93" i="10"/>
  <c r="T93" i="10"/>
  <c r="AB93" i="10" s="1"/>
  <c r="AC93" i="10"/>
  <c r="AE93" i="10"/>
  <c r="AF93" i="10" s="1"/>
  <c r="AG93" i="10"/>
  <c r="AM93" i="10"/>
  <c r="R94" i="10"/>
  <c r="T94" i="10"/>
  <c r="AC94" i="10"/>
  <c r="AF94" i="10" s="1"/>
  <c r="AE94" i="10"/>
  <c r="AG94" i="10"/>
  <c r="AM94" i="10"/>
  <c r="R95" i="10"/>
  <c r="T95" i="10"/>
  <c r="AB95" i="10" s="1"/>
  <c r="Y95" i="10"/>
  <c r="AC95" i="10"/>
  <c r="AF95" i="10" s="1"/>
  <c r="AE95" i="10"/>
  <c r="AG95" i="10"/>
  <c r="AM95" i="10"/>
  <c r="R96" i="10"/>
  <c r="T96" i="10"/>
  <c r="AC96" i="10"/>
  <c r="AF96" i="10" s="1"/>
  <c r="AE96" i="10"/>
  <c r="AG96" i="10"/>
  <c r="AM96" i="10"/>
  <c r="R97" i="10"/>
  <c r="T97" i="10"/>
  <c r="AB97" i="10" s="1"/>
  <c r="AC97" i="10"/>
  <c r="AF97" i="10" s="1"/>
  <c r="AE97" i="10"/>
  <c r="AG97" i="10"/>
  <c r="AM97" i="10"/>
  <c r="R98" i="10"/>
  <c r="T98" i="10"/>
  <c r="AB98" i="10" s="1"/>
  <c r="AC98" i="10"/>
  <c r="AE98" i="10"/>
  <c r="AG98" i="10"/>
  <c r="AM98" i="10"/>
  <c r="R99" i="10"/>
  <c r="T99" i="10"/>
  <c r="AC99" i="10"/>
  <c r="AE99" i="10"/>
  <c r="AG99" i="10"/>
  <c r="AM99" i="10"/>
  <c r="R100" i="10"/>
  <c r="T100" i="10"/>
  <c r="AB100" i="10" s="1"/>
  <c r="Y100" i="10"/>
  <c r="AC100" i="10"/>
  <c r="AE100" i="10"/>
  <c r="AF100" i="10"/>
  <c r="AG100" i="10"/>
  <c r="AH100" i="10" s="1"/>
  <c r="AJ100" i="10"/>
  <c r="AM100" i="10"/>
  <c r="R101" i="10"/>
  <c r="T101" i="10"/>
  <c r="AB101" i="10" s="1"/>
  <c r="AC101" i="10"/>
  <c r="AE101" i="10"/>
  <c r="AG101" i="10"/>
  <c r="AM101" i="10"/>
  <c r="R102" i="10"/>
  <c r="T102" i="10"/>
  <c r="AB102" i="10" s="1"/>
  <c r="AC102" i="10"/>
  <c r="AE102" i="10"/>
  <c r="AG102" i="10"/>
  <c r="AM102" i="10"/>
  <c r="R103" i="10"/>
  <c r="T103" i="10"/>
  <c r="Y103" i="10" s="1"/>
  <c r="AC103" i="10"/>
  <c r="AF103" i="10" s="1"/>
  <c r="AN103" i="10" s="1"/>
  <c r="AE103" i="10"/>
  <c r="AG103" i="10"/>
  <c r="AM103" i="10"/>
  <c r="R104" i="10"/>
  <c r="T104" i="10"/>
  <c r="Y104" i="10" s="1"/>
  <c r="AC104" i="10"/>
  <c r="AE104" i="10"/>
  <c r="AG104" i="10"/>
  <c r="AM104" i="10"/>
  <c r="R105" i="10"/>
  <c r="T105" i="10"/>
  <c r="AC105" i="10"/>
  <c r="AF105" i="10" s="1"/>
  <c r="AE105" i="10"/>
  <c r="AG105" i="10"/>
  <c r="AM105" i="10"/>
  <c r="W2" i="10"/>
  <c r="AH28" i="10" l="1"/>
  <c r="AF99" i="10"/>
  <c r="AF40" i="10"/>
  <c r="AN40" i="10"/>
  <c r="Y93" i="10"/>
  <c r="Y71" i="10"/>
  <c r="Y60" i="10"/>
  <c r="Y48" i="10"/>
  <c r="AF32" i="10"/>
  <c r="AH32" i="10" s="1"/>
  <c r="AH70" i="10"/>
  <c r="AJ47" i="10"/>
  <c r="AH30" i="10"/>
  <c r="Y101" i="10"/>
  <c r="AF84" i="10"/>
  <c r="AL84" i="10" s="1"/>
  <c r="Y78" i="10"/>
  <c r="AH50" i="10"/>
  <c r="Y49" i="10"/>
  <c r="Y40" i="10"/>
  <c r="AJ69" i="10"/>
  <c r="AH69" i="10"/>
  <c r="AJ78" i="10"/>
  <c r="AH97" i="10"/>
  <c r="Y85" i="10"/>
  <c r="Y73" i="10"/>
  <c r="AN54" i="10"/>
  <c r="AJ72" i="10"/>
  <c r="Y56" i="10"/>
  <c r="AH48" i="10"/>
  <c r="AJ105" i="10"/>
  <c r="AF98" i="10"/>
  <c r="AL98" i="10" s="1"/>
  <c r="Y86" i="10"/>
  <c r="Y70" i="10"/>
  <c r="Y35" i="10"/>
  <c r="Y29" i="10"/>
  <c r="AH90" i="10"/>
  <c r="AH53" i="10"/>
  <c r="Y80" i="10"/>
  <c r="AH72" i="10"/>
  <c r="Y57" i="10"/>
  <c r="AF10" i="10"/>
  <c r="AN10" i="10" s="1"/>
  <c r="AD9" i="10"/>
  <c r="AH9" i="10"/>
  <c r="AH25" i="10"/>
  <c r="AJ25" i="10"/>
  <c r="AH91" i="10"/>
  <c r="AJ91" i="10"/>
  <c r="AJ94" i="10"/>
  <c r="AH94" i="10"/>
  <c r="AN94" i="10"/>
  <c r="Y20" i="10"/>
  <c r="AN18" i="10"/>
  <c r="AF7" i="10"/>
  <c r="AN7" i="10" s="1"/>
  <c r="AN30" i="10"/>
  <c r="AB103" i="10"/>
  <c r="AD103" i="10" s="1"/>
  <c r="AB96" i="10"/>
  <c r="AD96" i="10" s="1"/>
  <c r="AB79" i="10"/>
  <c r="AN69" i="10"/>
  <c r="AN47" i="10"/>
  <c r="AN25" i="10"/>
  <c r="AI25" i="10" s="1"/>
  <c r="Y26" i="10"/>
  <c r="AN105" i="10"/>
  <c r="AH92" i="10"/>
  <c r="AB104" i="10"/>
  <c r="AL94" i="10"/>
  <c r="Y90" i="10"/>
  <c r="AB87" i="10"/>
  <c r="Y84" i="10"/>
  <c r="AN77" i="10"/>
  <c r="AB76" i="10"/>
  <c r="AB64" i="10"/>
  <c r="AD64" i="10" s="1"/>
  <c r="AF62" i="10"/>
  <c r="AL62" i="10" s="1"/>
  <c r="Y43" i="10"/>
  <c r="AF33" i="10"/>
  <c r="AH33" i="10" s="1"/>
  <c r="AN31" i="10"/>
  <c r="AF11" i="10"/>
  <c r="AL11" i="10" s="1"/>
  <c r="AN9" i="10"/>
  <c r="AB21" i="10"/>
  <c r="Y18" i="10"/>
  <c r="Y14" i="10"/>
  <c r="AF8" i="10"/>
  <c r="AH8" i="10" s="1"/>
  <c r="AL78" i="10"/>
  <c r="AH26" i="10"/>
  <c r="AN97" i="10"/>
  <c r="AN83" i="10"/>
  <c r="AH78" i="10"/>
  <c r="AB62" i="10"/>
  <c r="AF55" i="10"/>
  <c r="AN55" i="10" s="1"/>
  <c r="AN53" i="10"/>
  <c r="AB51" i="10"/>
  <c r="AD51" i="10" s="1"/>
  <c r="Y37" i="10"/>
  <c r="AF34" i="10"/>
  <c r="AH34" i="10" s="1"/>
  <c r="Y15" i="10"/>
  <c r="AN39" i="10"/>
  <c r="AN17" i="10"/>
  <c r="AN75" i="10"/>
  <c r="AN99" i="10"/>
  <c r="AN96" i="10"/>
  <c r="AK96" i="10" s="1"/>
  <c r="AL72" i="10"/>
  <c r="Y102" i="10"/>
  <c r="AL100" i="10"/>
  <c r="AN91" i="10"/>
  <c r="Y82" i="10"/>
  <c r="AB81" i="10"/>
  <c r="AD81" i="10" s="1"/>
  <c r="AF71" i="10"/>
  <c r="AL71" i="10" s="1"/>
  <c r="AN61" i="10"/>
  <c r="AB58" i="10"/>
  <c r="AB52" i="10"/>
  <c r="AL50" i="10"/>
  <c r="AF49" i="10"/>
  <c r="AH49" i="10" s="1"/>
  <c r="AB41" i="10"/>
  <c r="Y38" i="10"/>
  <c r="Y34" i="10"/>
  <c r="AF27" i="10"/>
  <c r="AJ27" i="10" s="1"/>
  <c r="AB19" i="10"/>
  <c r="Y16" i="10"/>
  <c r="Y12" i="10"/>
  <c r="AF104" i="10"/>
  <c r="AN104" i="10" s="1"/>
  <c r="AF102" i="10"/>
  <c r="AN102" i="10" s="1"/>
  <c r="AF101" i="10"/>
  <c r="AJ101" i="10" s="1"/>
  <c r="AL91" i="10"/>
  <c r="AF89" i="10"/>
  <c r="AH89" i="10" s="1"/>
  <c r="AF88" i="10"/>
  <c r="AF87" i="10"/>
  <c r="AL87" i="10" s="1"/>
  <c r="AF86" i="10"/>
  <c r="AH86" i="10" s="1"/>
  <c r="AF85" i="10"/>
  <c r="AN85" i="10" s="1"/>
  <c r="AF82" i="10"/>
  <c r="AN82" i="10" s="1"/>
  <c r="AF80" i="10"/>
  <c r="AN80" i="10" s="1"/>
  <c r="AF79" i="10"/>
  <c r="AN79" i="10" s="1"/>
  <c r="AF74" i="10"/>
  <c r="AN74" i="10" s="1"/>
  <c r="AL69" i="10"/>
  <c r="AF67" i="10"/>
  <c r="AF66" i="10"/>
  <c r="AJ66" i="10" s="1"/>
  <c r="AF65" i="10"/>
  <c r="AN65" i="10" s="1"/>
  <c r="AF64" i="10"/>
  <c r="AH64" i="10" s="1"/>
  <c r="AF63" i="10"/>
  <c r="AN63" i="10" s="1"/>
  <c r="AF60" i="10"/>
  <c r="AN60" i="10" s="1"/>
  <c r="AN58" i="10"/>
  <c r="AL58" i="10"/>
  <c r="AI58" i="10" s="1"/>
  <c r="AF57" i="10"/>
  <c r="AN57" i="10" s="1"/>
  <c r="AF52" i="10"/>
  <c r="AN52" i="10" s="1"/>
  <c r="AF46" i="10"/>
  <c r="AL46" i="10" s="1"/>
  <c r="AF45" i="10"/>
  <c r="AJ45" i="10" s="1"/>
  <c r="AF44" i="10"/>
  <c r="AJ44" i="10" s="1"/>
  <c r="AF43" i="10"/>
  <c r="AD43" i="10" s="1"/>
  <c r="AF42" i="10"/>
  <c r="AL42" i="10" s="1"/>
  <c r="AF41" i="10"/>
  <c r="AN41" i="10" s="1"/>
  <c r="AF38" i="10"/>
  <c r="AN38" i="10" s="1"/>
  <c r="AN36" i="10"/>
  <c r="AL36" i="10"/>
  <c r="AF35" i="10"/>
  <c r="AH35" i="10" s="1"/>
  <c r="AL25" i="10"/>
  <c r="AF24" i="10"/>
  <c r="AH24" i="10" s="1"/>
  <c r="AF23" i="10"/>
  <c r="AL23" i="10" s="1"/>
  <c r="AF22" i="10"/>
  <c r="AJ22" i="10" s="1"/>
  <c r="AF21" i="10"/>
  <c r="AN21" i="10" s="1"/>
  <c r="AF20" i="10"/>
  <c r="AJ20" i="10" s="1"/>
  <c r="AF19" i="10"/>
  <c r="AN19" i="10" s="1"/>
  <c r="AF16" i="10"/>
  <c r="AN16" i="10" s="1"/>
  <c r="AN14" i="10"/>
  <c r="AL14" i="10"/>
  <c r="AK14" i="10" s="1"/>
  <c r="AF13" i="10"/>
  <c r="AJ13" i="10" s="1"/>
  <c r="AB7" i="10"/>
  <c r="AD7" i="10" s="1"/>
  <c r="Y105" i="10"/>
  <c r="AB105" i="10"/>
  <c r="AD105" i="10" s="1"/>
  <c r="AH103" i="10"/>
  <c r="Y99" i="10"/>
  <c r="AB99" i="10"/>
  <c r="AD99" i="10" s="1"/>
  <c r="AJ97" i="10"/>
  <c r="AH95" i="10"/>
  <c r="Y94" i="10"/>
  <c r="AB94" i="10"/>
  <c r="AD94" i="10" s="1"/>
  <c r="Y91" i="10"/>
  <c r="AB91" i="10"/>
  <c r="AD91" i="10" s="1"/>
  <c r="Y89" i="10"/>
  <c r="AB89" i="10"/>
  <c r="Y88" i="10"/>
  <c r="AB88" i="10"/>
  <c r="Y83" i="10"/>
  <c r="AB83" i="10"/>
  <c r="AD83" i="10" s="1"/>
  <c r="AH81" i="10"/>
  <c r="Y77" i="10"/>
  <c r="AB77" i="10"/>
  <c r="AD77" i="10" s="1"/>
  <c r="AJ75" i="10"/>
  <c r="AH73" i="10"/>
  <c r="Y72" i="10"/>
  <c r="AB72" i="10"/>
  <c r="AD72" i="10" s="1"/>
  <c r="Y69" i="10"/>
  <c r="AB69" i="10"/>
  <c r="AD69" i="10" s="1"/>
  <c r="AH68" i="10"/>
  <c r="Y67" i="10"/>
  <c r="AB67" i="10"/>
  <c r="AD67" i="10" s="1"/>
  <c r="Y66" i="10"/>
  <c r="AB66" i="10"/>
  <c r="Y61" i="10"/>
  <c r="AB61" i="10"/>
  <c r="AH59" i="10"/>
  <c r="Y55" i="10"/>
  <c r="AB55" i="10"/>
  <c r="AD55" i="10" s="1"/>
  <c r="AJ53" i="10"/>
  <c r="AB53" i="10"/>
  <c r="AD53" i="10" s="1"/>
  <c r="Y50" i="10"/>
  <c r="AB50" i="10"/>
  <c r="AD50" i="10" s="1"/>
  <c r="Y47" i="10"/>
  <c r="AB47" i="10"/>
  <c r="AD47" i="10" s="1"/>
  <c r="Y46" i="10"/>
  <c r="AB46" i="10"/>
  <c r="Y45" i="10"/>
  <c r="AB45" i="10"/>
  <c r="Y39" i="10"/>
  <c r="AB39" i="10"/>
  <c r="AD39" i="10" s="1"/>
  <c r="AH37" i="10"/>
  <c r="Y33" i="10"/>
  <c r="AB33" i="10"/>
  <c r="AJ31" i="10"/>
  <c r="AB31" i="10"/>
  <c r="AD31" i="10" s="1"/>
  <c r="AJ30" i="10"/>
  <c r="AH29" i="10"/>
  <c r="Y28" i="10"/>
  <c r="AB28" i="10"/>
  <c r="AD28" i="10" s="1"/>
  <c r="Y25" i="10"/>
  <c r="AB25" i="10"/>
  <c r="AD25" i="10" s="1"/>
  <c r="Y24" i="10"/>
  <c r="AB24" i="10"/>
  <c r="Y23" i="10"/>
  <c r="AB23" i="10"/>
  <c r="Y22" i="10"/>
  <c r="AB22" i="10"/>
  <c r="Y17" i="10"/>
  <c r="AB17" i="10"/>
  <c r="AD17" i="10" s="1"/>
  <c r="AH15" i="10"/>
  <c r="AC5" i="10"/>
  <c r="Y11" i="10"/>
  <c r="AB11" i="10"/>
  <c r="AG5" i="10"/>
  <c r="AD42" i="10"/>
  <c r="AH42" i="10"/>
  <c r="AJ42" i="10"/>
  <c r="AD97" i="10"/>
  <c r="AH67" i="10"/>
  <c r="AJ67" i="10"/>
  <c r="AL67" i="10"/>
  <c r="AN67" i="10"/>
  <c r="AJ33" i="10"/>
  <c r="AD85" i="10"/>
  <c r="AJ85" i="10"/>
  <c r="T5" i="10"/>
  <c r="AH46" i="10"/>
  <c r="AJ46" i="10"/>
  <c r="AH12" i="10"/>
  <c r="AJ12" i="10"/>
  <c r="AD12" i="10"/>
  <c r="AL12" i="10"/>
  <c r="AN12" i="10"/>
  <c r="AH45" i="10"/>
  <c r="AL47" i="10"/>
  <c r="AL44" i="10"/>
  <c r="AH93" i="10"/>
  <c r="AJ93" i="10"/>
  <c r="AL93" i="10"/>
  <c r="AN93" i="10"/>
  <c r="AD93" i="10"/>
  <c r="AD32" i="10"/>
  <c r="AH18" i="10"/>
  <c r="AJ18" i="10"/>
  <c r="AL18" i="10"/>
  <c r="AD18" i="10"/>
  <c r="Y63" i="10"/>
  <c r="AD63" i="10"/>
  <c r="AN76" i="10"/>
  <c r="AL76" i="10"/>
  <c r="AH76" i="10"/>
  <c r="AJ76" i="10"/>
  <c r="AH54" i="10"/>
  <c r="AL54" i="10"/>
  <c r="AJ54" i="10"/>
  <c r="AN34" i="10"/>
  <c r="AD86" i="10"/>
  <c r="AH56" i="10"/>
  <c r="AD56" i="10"/>
  <c r="AL56" i="10"/>
  <c r="AN56" i="10"/>
  <c r="AJ56" i="10"/>
  <c r="AD75" i="10"/>
  <c r="AL99" i="10"/>
  <c r="AI99" i="10" s="1"/>
  <c r="AH99" i="10"/>
  <c r="AJ99" i="10"/>
  <c r="AL77" i="10"/>
  <c r="AH77" i="10"/>
  <c r="AJ77" i="10"/>
  <c r="AL55" i="10"/>
  <c r="AH55" i="10"/>
  <c r="AJ55" i="10"/>
  <c r="Y44" i="10"/>
  <c r="AN71" i="10"/>
  <c r="AL21" i="10"/>
  <c r="AL60" i="10"/>
  <c r="AK60" i="10" s="1"/>
  <c r="AD60" i="10"/>
  <c r="AH60" i="10"/>
  <c r="AN43" i="10"/>
  <c r="AH40" i="10"/>
  <c r="AJ40" i="10"/>
  <c r="AL40" i="10"/>
  <c r="AI40" i="10" s="1"/>
  <c r="AD40" i="10"/>
  <c r="AL95" i="10"/>
  <c r="AL73" i="10"/>
  <c r="AL29" i="10"/>
  <c r="AI29" i="10" s="1"/>
  <c r="AL7" i="10"/>
  <c r="AK7" i="10" s="1"/>
  <c r="AL70" i="10"/>
  <c r="AI70" i="10" s="1"/>
  <c r="AL26" i="10"/>
  <c r="AK26" i="10" s="1"/>
  <c r="AD58" i="10"/>
  <c r="AD36" i="10"/>
  <c r="AD14" i="10"/>
  <c r="AD92" i="10"/>
  <c r="AD70" i="10"/>
  <c r="AD48" i="10"/>
  <c r="AD26" i="10"/>
  <c r="AL51" i="10"/>
  <c r="AL92" i="10"/>
  <c r="AL48" i="10"/>
  <c r="AK48" i="10" s="1"/>
  <c r="Y97" i="10"/>
  <c r="AJ95" i="10"/>
  <c r="Y75" i="10"/>
  <c r="AJ73" i="10"/>
  <c r="Y53" i="10"/>
  <c r="AJ51" i="10"/>
  <c r="Y31" i="10"/>
  <c r="AJ29" i="10"/>
  <c r="Y9" i="10"/>
  <c r="AJ7" i="10"/>
  <c r="AD89" i="10"/>
  <c r="AD23" i="10"/>
  <c r="AN95" i="10"/>
  <c r="AJ92" i="10"/>
  <c r="AJ70" i="10"/>
  <c r="AJ48" i="10"/>
  <c r="AJ26" i="10"/>
  <c r="AD66" i="10"/>
  <c r="AD90" i="10"/>
  <c r="AD68" i="10"/>
  <c r="AN73" i="10"/>
  <c r="AN51" i="10"/>
  <c r="AL105" i="10"/>
  <c r="AI105" i="10" s="1"/>
  <c r="AL83" i="10"/>
  <c r="AL61" i="10"/>
  <c r="AH51" i="10"/>
  <c r="AL39" i="10"/>
  <c r="AI39" i="10" s="1"/>
  <c r="AL17" i="10"/>
  <c r="AH7" i="10"/>
  <c r="R5" i="10"/>
  <c r="AD76" i="10"/>
  <c r="AD54" i="10"/>
  <c r="AJ39" i="10"/>
  <c r="AJ17" i="10"/>
  <c r="AL96" i="10"/>
  <c r="AN90" i="10"/>
  <c r="AN68" i="10"/>
  <c r="AJ36" i="10"/>
  <c r="AH105" i="10"/>
  <c r="AH83" i="10"/>
  <c r="AH61" i="10"/>
  <c r="AH39" i="10"/>
  <c r="AH17" i="10"/>
  <c r="AD61" i="10"/>
  <c r="AD95" i="10"/>
  <c r="AD73" i="10"/>
  <c r="AD29" i="10"/>
  <c r="AJ58" i="10"/>
  <c r="AL30" i="10"/>
  <c r="AJ14" i="10"/>
  <c r="AD30" i="10"/>
  <c r="Y98" i="10"/>
  <c r="AJ96" i="10"/>
  <c r="AL90" i="10"/>
  <c r="Y76" i="10"/>
  <c r="AL68" i="10"/>
  <c r="AH58" i="10"/>
  <c r="Y54" i="10"/>
  <c r="AH36" i="10"/>
  <c r="Y32" i="10"/>
  <c r="AH14" i="10"/>
  <c r="Y10" i="10"/>
  <c r="AN37" i="10"/>
  <c r="AN15" i="10"/>
  <c r="AN100" i="10"/>
  <c r="AH96" i="10"/>
  <c r="AJ90" i="10"/>
  <c r="AN78" i="10"/>
  <c r="AJ68" i="10"/>
  <c r="AL103" i="10"/>
  <c r="AL81" i="10"/>
  <c r="AL59" i="10"/>
  <c r="AI59" i="10" s="1"/>
  <c r="AL37" i="10"/>
  <c r="AI37" i="10" s="1"/>
  <c r="AL15" i="10"/>
  <c r="AD59" i="10"/>
  <c r="AD37" i="10"/>
  <c r="AD15" i="10"/>
  <c r="AN72" i="10"/>
  <c r="AN50" i="10"/>
  <c r="AN28" i="10"/>
  <c r="AJ103" i="10"/>
  <c r="AL97" i="10"/>
  <c r="AJ81" i="10"/>
  <c r="AL75" i="10"/>
  <c r="AJ59" i="10"/>
  <c r="AL53" i="10"/>
  <c r="AJ37" i="10"/>
  <c r="AL31" i="10"/>
  <c r="AI31" i="10" s="1"/>
  <c r="AJ15" i="10"/>
  <c r="AL9" i="10"/>
  <c r="AL28" i="10"/>
  <c r="AD100" i="10"/>
  <c r="AD78" i="10"/>
  <c r="AJ9" i="10"/>
  <c r="Y96" i="10"/>
  <c r="Y74" i="10"/>
  <c r="Y52" i="10"/>
  <c r="Y30" i="10"/>
  <c r="Y8" i="10"/>
  <c r="AL19" i="10" l="1"/>
  <c r="AD98" i="10"/>
  <c r="AH19" i="10"/>
  <c r="AJ98" i="10"/>
  <c r="AH63" i="10"/>
  <c r="AI77" i="10"/>
  <c r="AJ19" i="10"/>
  <c r="AN32" i="10"/>
  <c r="AH21" i="10"/>
  <c r="AN98" i="10"/>
  <c r="AI98" i="10" s="1"/>
  <c r="AJ63" i="10"/>
  <c r="AH41" i="10"/>
  <c r="AD19" i="10"/>
  <c r="AL82" i="10"/>
  <c r="AK82" i="10" s="1"/>
  <c r="AL63" i="10"/>
  <c r="AK63" i="10" s="1"/>
  <c r="AH98" i="10"/>
  <c r="AJ32" i="10"/>
  <c r="AL10" i="10"/>
  <c r="AI10" i="10" s="1"/>
  <c r="AL32" i="10"/>
  <c r="AK32" i="10" s="1"/>
  <c r="AH85" i="10"/>
  <c r="AN42" i="10"/>
  <c r="AD41" i="10"/>
  <c r="AK100" i="10"/>
  <c r="AJ10" i="10"/>
  <c r="AI90" i="10"/>
  <c r="AI61" i="10"/>
  <c r="AJ60" i="10"/>
  <c r="AL85" i="10"/>
  <c r="AI85" i="10" s="1"/>
  <c r="AI36" i="10"/>
  <c r="AL34" i="10"/>
  <c r="AI34" i="10" s="1"/>
  <c r="AJ57" i="10"/>
  <c r="AH10" i="10"/>
  <c r="AJ84" i="10"/>
  <c r="AJ79" i="10"/>
  <c r="AK102" i="10"/>
  <c r="AK36" i="10"/>
  <c r="AK31" i="10"/>
  <c r="AJ8" i="10"/>
  <c r="AJ38" i="10"/>
  <c r="AD10" i="10"/>
  <c r="AJ52" i="10"/>
  <c r="AH82" i="10"/>
  <c r="AL102" i="10"/>
  <c r="AI102" i="10" s="1"/>
  <c r="AH84" i="10"/>
  <c r="AD101" i="10"/>
  <c r="AD38" i="10"/>
  <c r="AL104" i="10"/>
  <c r="AK104" i="10" s="1"/>
  <c r="AH62" i="10"/>
  <c r="AJ74" i="10"/>
  <c r="AJ102" i="10"/>
  <c r="AN20" i="10"/>
  <c r="AK71" i="10"/>
  <c r="AD84" i="10"/>
  <c r="AD35" i="10"/>
  <c r="AL38" i="10"/>
  <c r="AK38" i="10" s="1"/>
  <c r="AL80" i="10"/>
  <c r="AK80" i="10" s="1"/>
  <c r="AH74" i="10"/>
  <c r="AD82" i="10"/>
  <c r="AJ16" i="10"/>
  <c r="AD20" i="10"/>
  <c r="AD33" i="10"/>
  <c r="AK17" i="10"/>
  <c r="AN84" i="10"/>
  <c r="AI84" i="10" s="1"/>
  <c r="AD52" i="10"/>
  <c r="AK29" i="10"/>
  <c r="AL101" i="10"/>
  <c r="AJ80" i="10"/>
  <c r="AI18" i="10"/>
  <c r="AL16" i="10"/>
  <c r="AK16" i="10" s="1"/>
  <c r="AH20" i="10"/>
  <c r="AD88" i="10"/>
  <c r="AI95" i="10"/>
  <c r="AL8" i="10"/>
  <c r="AH80" i="10"/>
  <c r="AD49" i="10"/>
  <c r="AL33" i="10"/>
  <c r="AK25" i="10"/>
  <c r="AI94" i="10"/>
  <c r="AH43" i="10"/>
  <c r="AK83" i="10"/>
  <c r="AH65" i="10"/>
  <c r="AH88" i="10"/>
  <c r="AI54" i="10"/>
  <c r="AN89" i="10"/>
  <c r="AI89" i="10" s="1"/>
  <c r="AI69" i="10"/>
  <c r="AK91" i="10"/>
  <c r="AJ43" i="10"/>
  <c r="AN88" i="10"/>
  <c r="AJ87" i="10"/>
  <c r="AL89" i="10"/>
  <c r="AD45" i="10"/>
  <c r="AK55" i="10"/>
  <c r="AL65" i="10"/>
  <c r="AK65" i="10" s="1"/>
  <c r="AH71" i="10"/>
  <c r="AJ65" i="10"/>
  <c r="AK105" i="10"/>
  <c r="AL88" i="10"/>
  <c r="AI88" i="10" s="1"/>
  <c r="AN64" i="10"/>
  <c r="AN86" i="10"/>
  <c r="AJ89" i="10"/>
  <c r="AK78" i="10"/>
  <c r="AK39" i="10"/>
  <c r="AL64" i="10"/>
  <c r="AK64" i="10" s="1"/>
  <c r="AL86" i="10"/>
  <c r="AK86" i="10" s="1"/>
  <c r="AH66" i="10"/>
  <c r="AD46" i="10"/>
  <c r="AJ71" i="10"/>
  <c r="AJ88" i="10"/>
  <c r="AD71" i="10"/>
  <c r="AJ64" i="10"/>
  <c r="AJ86" i="10"/>
  <c r="AN66" i="10"/>
  <c r="AK66" i="10" s="1"/>
  <c r="AK69" i="10"/>
  <c r="AN46" i="10"/>
  <c r="AI46" i="10" s="1"/>
  <c r="AK94" i="10"/>
  <c r="AL43" i="10"/>
  <c r="AI43" i="10" s="1"/>
  <c r="AK37" i="10"/>
  <c r="AK90" i="10"/>
  <c r="AL66" i="10"/>
  <c r="AN44" i="10"/>
  <c r="AD27" i="10"/>
  <c r="AH11" i="10"/>
  <c r="AI9" i="10"/>
  <c r="AJ21" i="10"/>
  <c r="AD21" i="10"/>
  <c r="AN13" i="10"/>
  <c r="AN22" i="10"/>
  <c r="AK22" i="10" s="1"/>
  <c r="AD22" i="10"/>
  <c r="AH23" i="10"/>
  <c r="AD24" i="10"/>
  <c r="AN24" i="10"/>
  <c r="AH22" i="10"/>
  <c r="AL24" i="10"/>
  <c r="AJ24" i="10"/>
  <c r="AL13" i="10"/>
  <c r="AL22" i="10"/>
  <c r="AI22" i="10" s="1"/>
  <c r="AJ23" i="10"/>
  <c r="AN11" i="10"/>
  <c r="AK11" i="10" s="1"/>
  <c r="AH13" i="10"/>
  <c r="AI15" i="10"/>
  <c r="AD13" i="10"/>
  <c r="AJ11" i="10"/>
  <c r="AK54" i="10"/>
  <c r="AD74" i="10"/>
  <c r="AF5" i="10"/>
  <c r="AD57" i="10"/>
  <c r="AD65" i="10"/>
  <c r="AH101" i="10"/>
  <c r="AH87" i="10"/>
  <c r="AH52" i="10"/>
  <c r="AN23" i="10"/>
  <c r="AI23" i="10" s="1"/>
  <c r="AH16" i="10"/>
  <c r="AK15" i="10"/>
  <c r="AI100" i="10"/>
  <c r="AD11" i="10"/>
  <c r="AK51" i="10"/>
  <c r="AD79" i="10"/>
  <c r="AN101" i="10"/>
  <c r="AD44" i="10"/>
  <c r="AH38" i="10"/>
  <c r="AD104" i="10"/>
  <c r="AI76" i="10"/>
  <c r="AL74" i="10"/>
  <c r="AI74" i="10" s="1"/>
  <c r="AH44" i="10"/>
  <c r="AJ82" i="10"/>
  <c r="AD16" i="10"/>
  <c r="AN33" i="10"/>
  <c r="AN62" i="10"/>
  <c r="AI62" i="10" s="1"/>
  <c r="AK9" i="10"/>
  <c r="AK59" i="10"/>
  <c r="AI14" i="10"/>
  <c r="AH79" i="10"/>
  <c r="AL27" i="10"/>
  <c r="AH102" i="10"/>
  <c r="AD87" i="10"/>
  <c r="AN8" i="10"/>
  <c r="AJ49" i="10"/>
  <c r="AD8" i="10"/>
  <c r="AK61" i="10"/>
  <c r="AD80" i="10"/>
  <c r="AJ35" i="10"/>
  <c r="AL41" i="10"/>
  <c r="AD34" i="10"/>
  <c r="AJ62" i="10"/>
  <c r="AN87" i="10"/>
  <c r="AK87" i="10" s="1"/>
  <c r="AL45" i="10"/>
  <c r="AL79" i="10"/>
  <c r="AK79" i="10" s="1"/>
  <c r="AN49" i="10"/>
  <c r="AH27" i="10"/>
  <c r="AI91" i="10"/>
  <c r="AL20" i="10"/>
  <c r="AI20" i="10" s="1"/>
  <c r="AL57" i="10"/>
  <c r="AK57" i="10" s="1"/>
  <c r="AN27" i="10"/>
  <c r="AK27" i="10" s="1"/>
  <c r="AI17" i="10"/>
  <c r="AN35" i="10"/>
  <c r="AD62" i="10"/>
  <c r="AL49" i="10"/>
  <c r="AI83" i="10"/>
  <c r="AL35" i="10"/>
  <c r="AJ104" i="10"/>
  <c r="AK99" i="10"/>
  <c r="AJ34" i="10"/>
  <c r="AN45" i="10"/>
  <c r="AH57" i="10"/>
  <c r="AI78" i="10"/>
  <c r="AI96" i="10"/>
  <c r="AD102" i="10"/>
  <c r="AI55" i="10"/>
  <c r="AH104" i="10"/>
  <c r="AJ41" i="10"/>
  <c r="AK76" i="10"/>
  <c r="AL52" i="10"/>
  <c r="AI52" i="10" s="1"/>
  <c r="AI82" i="10"/>
  <c r="AK58" i="10"/>
  <c r="AK50" i="10"/>
  <c r="AI50" i="10"/>
  <c r="AK72" i="10"/>
  <c r="AI72" i="10"/>
  <c r="AI30" i="10"/>
  <c r="AK30" i="10"/>
  <c r="AI68" i="10"/>
  <c r="AK73" i="10"/>
  <c r="AI73" i="10"/>
  <c r="AI92" i="10"/>
  <c r="AK92" i="10"/>
  <c r="AI51" i="10"/>
  <c r="AK95" i="10"/>
  <c r="AK21" i="10"/>
  <c r="AI21" i="10"/>
  <c r="AI71" i="10"/>
  <c r="Y5" i="10"/>
  <c r="AI19" i="10"/>
  <c r="AK19" i="10"/>
  <c r="AI56" i="10"/>
  <c r="AI11" i="10"/>
  <c r="AI93" i="10"/>
  <c r="AK93" i="10"/>
  <c r="AI44" i="10"/>
  <c r="AI12" i="10"/>
  <c r="AI67" i="10"/>
  <c r="AK67" i="10"/>
  <c r="AK42" i="10"/>
  <c r="AI42" i="10"/>
  <c r="AI97" i="10"/>
  <c r="AK97" i="10"/>
  <c r="AI7" i="10"/>
  <c r="AK70" i="10"/>
  <c r="AI28" i="10"/>
  <c r="AI63" i="10"/>
  <c r="AK56" i="10"/>
  <c r="AI79" i="10"/>
  <c r="AK44" i="10"/>
  <c r="AH5" i="10"/>
  <c r="AK77" i="10"/>
  <c r="AK68" i="10"/>
  <c r="AB5" i="10"/>
  <c r="AI26" i="10"/>
  <c r="AK40" i="10"/>
  <c r="AK18" i="10"/>
  <c r="AI48" i="10"/>
  <c r="AI47" i="10"/>
  <c r="AK47" i="10"/>
  <c r="AK12" i="10"/>
  <c r="AI60" i="10"/>
  <c r="AI53" i="10"/>
  <c r="AK53" i="10"/>
  <c r="AK10" i="10"/>
  <c r="AI16" i="10"/>
  <c r="AI75" i="10"/>
  <c r="AK75" i="10"/>
  <c r="AI81" i="10"/>
  <c r="AK81" i="10"/>
  <c r="AI103" i="10"/>
  <c r="AK103" i="10"/>
  <c r="AK28" i="10"/>
  <c r="Q53" i="8"/>
  <c r="Q54" i="8"/>
  <c r="Q55" i="8"/>
  <c r="Q56" i="8"/>
  <c r="Q57" i="8"/>
  <c r="Q58" i="8"/>
  <c r="Q59" i="8"/>
  <c r="Q60" i="8"/>
  <c r="Q61" i="8"/>
  <c r="V61" i="8" s="1"/>
  <c r="Q62" i="8"/>
  <c r="V62" i="8" s="1"/>
  <c r="Q63" i="8"/>
  <c r="V63" i="8" s="1"/>
  <c r="Q64" i="8"/>
  <c r="Q65" i="8"/>
  <c r="V65" i="8" s="1"/>
  <c r="W65" i="8"/>
  <c r="Z53" i="8"/>
  <c r="X53" i="8" s="1"/>
  <c r="Z54" i="8"/>
  <c r="Z55" i="8"/>
  <c r="X55" i="8" s="1"/>
  <c r="Z56" i="8"/>
  <c r="X56" i="8" s="1"/>
  <c r="AA56" i="8" s="1"/>
  <c r="Z57" i="8"/>
  <c r="X57" i="8" s="1"/>
  <c r="AA57" i="8" s="1"/>
  <c r="Z58" i="8"/>
  <c r="X58" i="8" s="1"/>
  <c r="Z59" i="8"/>
  <c r="X59" i="8" s="1"/>
  <c r="AA59" i="8" s="1"/>
  <c r="Z60" i="8"/>
  <c r="X60" i="8" s="1"/>
  <c r="Z61" i="8"/>
  <c r="X61" i="8" s="1"/>
  <c r="Z62" i="8"/>
  <c r="X62" i="8" s="1"/>
  <c r="Z63" i="8"/>
  <c r="X63" i="8" s="1"/>
  <c r="Z64" i="8"/>
  <c r="X64" i="8" s="1"/>
  <c r="Z65" i="8"/>
  <c r="X65" i="8" s="1"/>
  <c r="O22" i="8"/>
  <c r="O21" i="8"/>
  <c r="W21" i="8"/>
  <c r="Z21" i="8"/>
  <c r="X21" i="8" s="1"/>
  <c r="AB21" i="8"/>
  <c r="AH21" i="8"/>
  <c r="Q21" i="8"/>
  <c r="V21" i="8" s="1"/>
  <c r="W53" i="8"/>
  <c r="W54" i="8"/>
  <c r="W55" i="8"/>
  <c r="W56" i="8"/>
  <c r="W57" i="8"/>
  <c r="W58" i="8"/>
  <c r="W59" i="8"/>
  <c r="W60" i="8"/>
  <c r="W61" i="8"/>
  <c r="W62" i="8"/>
  <c r="W63" i="8"/>
  <c r="W64" i="8"/>
  <c r="W52" i="8"/>
  <c r="V53" i="8"/>
  <c r="V54" i="8"/>
  <c r="V55" i="8"/>
  <c r="V56" i="8"/>
  <c r="V57" i="8"/>
  <c r="V58" i="8"/>
  <c r="V59" i="8"/>
  <c r="V60" i="8"/>
  <c r="V64" i="8"/>
  <c r="O7" i="8"/>
  <c r="W7" i="8" s="1"/>
  <c r="AB7" i="8"/>
  <c r="U5" i="8"/>
  <c r="AI32" i="10" l="1"/>
  <c r="AI13" i="10"/>
  <c r="AK98" i="10"/>
  <c r="AI104" i="10"/>
  <c r="AK46" i="10"/>
  <c r="AI57" i="10"/>
  <c r="AK34" i="10"/>
  <c r="AI45" i="10"/>
  <c r="AK85" i="10"/>
  <c r="AK20" i="10"/>
  <c r="AI66" i="10"/>
  <c r="AK24" i="10"/>
  <c r="AI80" i="10"/>
  <c r="AI38" i="10"/>
  <c r="AI65" i="10"/>
  <c r="AI101" i="10"/>
  <c r="AI35" i="10"/>
  <c r="AK52" i="10"/>
  <c r="AJ5" i="10"/>
  <c r="AI33" i="10"/>
  <c r="AK84" i="10"/>
  <c r="AI8" i="10"/>
  <c r="AK13" i="10"/>
  <c r="AK33" i="10"/>
  <c r="AK43" i="10"/>
  <c r="AI64" i="10"/>
  <c r="AK35" i="10"/>
  <c r="AK89" i="10"/>
  <c r="AK74" i="10"/>
  <c r="AI86" i="10"/>
  <c r="AK45" i="10"/>
  <c r="AK88" i="10"/>
  <c r="AI27" i="10"/>
  <c r="AK8" i="10"/>
  <c r="AI24" i="10"/>
  <c r="AK62" i="10"/>
  <c r="AK23" i="10"/>
  <c r="AN5" i="10"/>
  <c r="AI49" i="10"/>
  <c r="AL5" i="10"/>
  <c r="AK41" i="10"/>
  <c r="AI41" i="10"/>
  <c r="AK101" i="10"/>
  <c r="AI87" i="10"/>
  <c r="AK49" i="10"/>
  <c r="Y59" i="8"/>
  <c r="Y57" i="8"/>
  <c r="Y56" i="8"/>
  <c r="X54" i="8"/>
  <c r="AA54" i="8" s="1"/>
  <c r="Y54" i="8" s="1"/>
  <c r="AA62" i="8"/>
  <c r="Y62" i="8" s="1"/>
  <c r="AA60" i="8"/>
  <c r="Y60" i="8" s="1"/>
  <c r="AA58" i="8"/>
  <c r="Y58" i="8" s="1"/>
  <c r="AA55" i="8"/>
  <c r="Y55" i="8" s="1"/>
  <c r="AA65" i="8"/>
  <c r="Y65" i="8" s="1"/>
  <c r="AA53" i="8"/>
  <c r="Y53" i="8" s="1"/>
  <c r="AA63" i="8"/>
  <c r="Y63" i="8" s="1"/>
  <c r="AA64" i="8"/>
  <c r="Y64" i="8" s="1"/>
  <c r="AA61" i="8"/>
  <c r="Y61" i="8" s="1"/>
  <c r="AA21" i="8"/>
  <c r="Y21" i="8" s="1"/>
  <c r="Q7" i="8"/>
  <c r="V7" i="8" s="1"/>
  <c r="Z7" i="8"/>
  <c r="AH7" i="8"/>
  <c r="O8" i="8"/>
  <c r="W8" i="8" s="1"/>
  <c r="Q8" i="8"/>
  <c r="V8" i="8" s="1"/>
  <c r="Z8" i="8"/>
  <c r="X8" i="8" s="1"/>
  <c r="AB8" i="8"/>
  <c r="AH8" i="8"/>
  <c r="O9" i="8"/>
  <c r="W9" i="8" s="1"/>
  <c r="Q9" i="8"/>
  <c r="V9" i="8" s="1"/>
  <c r="Z9" i="8"/>
  <c r="X9" i="8" s="1"/>
  <c r="AB9" i="8"/>
  <c r="AH9" i="8"/>
  <c r="O10" i="8"/>
  <c r="W10" i="8" s="1"/>
  <c r="Q10" i="8"/>
  <c r="V10" i="8" s="1"/>
  <c r="Z10" i="8"/>
  <c r="X10" i="8" s="1"/>
  <c r="AB10" i="8"/>
  <c r="AH10" i="8"/>
  <c r="N5" i="8"/>
  <c r="AI5" i="10" l="1"/>
  <c r="AK5" i="10"/>
  <c r="X7" i="8"/>
  <c r="AA7" i="8" s="1"/>
  <c r="Y7" i="8" s="1"/>
  <c r="AE21" i="8"/>
  <c r="AC21" i="8"/>
  <c r="AI21" i="8"/>
  <c r="AG21" i="8"/>
  <c r="AD21" i="8" s="1"/>
  <c r="AA8" i="8"/>
  <c r="AA9" i="8"/>
  <c r="AA10" i="8"/>
  <c r="Q32" i="8"/>
  <c r="V32" i="8" s="1"/>
  <c r="Q33" i="8"/>
  <c r="V33" i="8" s="1"/>
  <c r="Q34" i="8"/>
  <c r="V34" i="8" s="1"/>
  <c r="Q35" i="8"/>
  <c r="V35" i="8" s="1"/>
  <c r="Q36" i="8"/>
  <c r="V36" i="8" s="1"/>
  <c r="Q37" i="8"/>
  <c r="V37" i="8" s="1"/>
  <c r="AE7" i="8" l="1"/>
  <c r="AF21" i="8"/>
  <c r="AC8" i="8"/>
  <c r="Y8" i="8"/>
  <c r="AG10" i="8"/>
  <c r="Y10" i="8"/>
  <c r="AI9" i="8"/>
  <c r="Y9" i="8"/>
  <c r="AE8" i="8"/>
  <c r="AG8" i="8"/>
  <c r="AI8" i="8"/>
  <c r="AC9" i="8"/>
  <c r="AE9" i="8"/>
  <c r="AG9" i="8"/>
  <c r="AC10" i="8"/>
  <c r="AE10" i="8"/>
  <c r="AC7" i="8"/>
  <c r="AI7" i="8"/>
  <c r="AG7" i="8"/>
  <c r="AI10" i="8"/>
  <c r="AF10" i="8" l="1"/>
  <c r="AD9" i="8"/>
  <c r="AF8" i="8"/>
  <c r="AD8" i="8"/>
  <c r="AF9" i="8"/>
  <c r="AD7" i="8"/>
  <c r="AF7" i="8"/>
  <c r="AD10" i="8"/>
  <c r="AH11" i="8"/>
  <c r="AH12" i="8"/>
  <c r="AH13" i="8"/>
  <c r="AH14" i="8"/>
  <c r="AH15" i="8"/>
  <c r="AH16" i="8"/>
  <c r="AH17" i="8"/>
  <c r="AH18" i="8"/>
  <c r="AH19" i="8"/>
  <c r="AH20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T2" i="8"/>
  <c r="Z11" i="8" l="1"/>
  <c r="Z12" i="8"/>
  <c r="Z13" i="8"/>
  <c r="Z14" i="8"/>
  <c r="Z15" i="8"/>
  <c r="Z16" i="8"/>
  <c r="Z17" i="8"/>
  <c r="Z18" i="8"/>
  <c r="Z19" i="8"/>
  <c r="Z20" i="8"/>
  <c r="Z22" i="8"/>
  <c r="Z23" i="8"/>
  <c r="X23" i="8" s="1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Q11" i="8" l="1"/>
  <c r="V11" i="8" s="1"/>
  <c r="Q12" i="8"/>
  <c r="V12" i="8" s="1"/>
  <c r="Q13" i="8"/>
  <c r="V13" i="8" s="1"/>
  <c r="Q14" i="8"/>
  <c r="V14" i="8" s="1"/>
  <c r="Q15" i="8"/>
  <c r="V15" i="8" s="1"/>
  <c r="Q16" i="8"/>
  <c r="V16" i="8" s="1"/>
  <c r="Q17" i="8"/>
  <c r="V17" i="8" s="1"/>
  <c r="Q18" i="8"/>
  <c r="V18" i="8" s="1"/>
  <c r="Q19" i="8"/>
  <c r="V19" i="8" s="1"/>
  <c r="Q20" i="8"/>
  <c r="V20" i="8" s="1"/>
  <c r="Q22" i="8"/>
  <c r="V22" i="8" s="1"/>
  <c r="Q23" i="8"/>
  <c r="V23" i="8" s="1"/>
  <c r="Q24" i="8"/>
  <c r="V24" i="8" s="1"/>
  <c r="Q25" i="8"/>
  <c r="V25" i="8" s="1"/>
  <c r="Q26" i="8"/>
  <c r="V26" i="8" s="1"/>
  <c r="Q27" i="8"/>
  <c r="V27" i="8" s="1"/>
  <c r="Q28" i="8"/>
  <c r="V28" i="8" s="1"/>
  <c r="Q29" i="8"/>
  <c r="V29" i="8" s="1"/>
  <c r="Q30" i="8"/>
  <c r="V30" i="8" s="1"/>
  <c r="Q31" i="8"/>
  <c r="V31" i="8" s="1"/>
  <c r="Q38" i="8"/>
  <c r="V38" i="8" s="1"/>
  <c r="Q39" i="8"/>
  <c r="V39" i="8" s="1"/>
  <c r="Q40" i="8"/>
  <c r="V40" i="8" s="1"/>
  <c r="Q41" i="8"/>
  <c r="V41" i="8" s="1"/>
  <c r="Q42" i="8"/>
  <c r="V42" i="8" s="1"/>
  <c r="Q43" i="8"/>
  <c r="V43" i="8" s="1"/>
  <c r="Q44" i="8"/>
  <c r="V44" i="8" s="1"/>
  <c r="Q45" i="8"/>
  <c r="V45" i="8" s="1"/>
  <c r="Q46" i="8"/>
  <c r="V46" i="8" s="1"/>
  <c r="Q47" i="8"/>
  <c r="V47" i="8" s="1"/>
  <c r="Q48" i="8"/>
  <c r="V48" i="8" s="1"/>
  <c r="Q49" i="8"/>
  <c r="V49" i="8" s="1"/>
  <c r="Q50" i="8"/>
  <c r="V50" i="8" s="1"/>
  <c r="Q51" i="8"/>
  <c r="V51" i="8" s="1"/>
  <c r="Q52" i="8"/>
  <c r="V52" i="8" s="1"/>
  <c r="X12" i="8"/>
  <c r="AA12" i="8" s="1"/>
  <c r="X13" i="8"/>
  <c r="AA13" i="8" s="1"/>
  <c r="X14" i="8"/>
  <c r="AA14" i="8" s="1"/>
  <c r="X15" i="8"/>
  <c r="AA15" i="8" s="1"/>
  <c r="X16" i="8"/>
  <c r="AA16" i="8" s="1"/>
  <c r="X17" i="8"/>
  <c r="AA17" i="8" s="1"/>
  <c r="X24" i="8"/>
  <c r="AA24" i="8" s="1"/>
  <c r="X25" i="8"/>
  <c r="AA25" i="8" s="1"/>
  <c r="X26" i="8"/>
  <c r="AA26" i="8" s="1"/>
  <c r="X27" i="8"/>
  <c r="AA27" i="8" s="1"/>
  <c r="X28" i="8"/>
  <c r="AA28" i="8" s="1"/>
  <c r="X29" i="8"/>
  <c r="AA29" i="8" s="1"/>
  <c r="X35" i="8"/>
  <c r="AA35" i="8" s="1"/>
  <c r="X36" i="8"/>
  <c r="AA36" i="8" s="1"/>
  <c r="X37" i="8"/>
  <c r="AA37" i="8" s="1"/>
  <c r="X38" i="8"/>
  <c r="AA38" i="8" s="1"/>
  <c r="X39" i="8"/>
  <c r="AA39" i="8" s="1"/>
  <c r="X40" i="8"/>
  <c r="AA40" i="8" s="1"/>
  <c r="X46" i="8"/>
  <c r="AA46" i="8" s="1"/>
  <c r="X47" i="8"/>
  <c r="AA47" i="8" s="1"/>
  <c r="X48" i="8"/>
  <c r="AA48" i="8" s="1"/>
  <c r="X49" i="8"/>
  <c r="AA49" i="8" s="1"/>
  <c r="X50" i="8"/>
  <c r="AA50" i="8" s="1"/>
  <c r="X51" i="8"/>
  <c r="AA51" i="8" s="1"/>
  <c r="AB11" i="8"/>
  <c r="AB12" i="8"/>
  <c r="AB13" i="8"/>
  <c r="AB14" i="8"/>
  <c r="AB15" i="8"/>
  <c r="AB16" i="8"/>
  <c r="AB17" i="8"/>
  <c r="AB18" i="8"/>
  <c r="AB19" i="8"/>
  <c r="AB20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X11" i="8"/>
  <c r="AA11" i="8" s="1"/>
  <c r="X18" i="8"/>
  <c r="AA18" i="8" s="1"/>
  <c r="X19" i="8"/>
  <c r="AA19" i="8" s="1"/>
  <c r="X20" i="8"/>
  <c r="AA20" i="8" s="1"/>
  <c r="X22" i="8"/>
  <c r="AA22" i="8" s="1"/>
  <c r="AA23" i="8"/>
  <c r="X30" i="8"/>
  <c r="AA30" i="8" s="1"/>
  <c r="X31" i="8"/>
  <c r="AA31" i="8" s="1"/>
  <c r="X32" i="8"/>
  <c r="AA32" i="8" s="1"/>
  <c r="X33" i="8"/>
  <c r="AA33" i="8" s="1"/>
  <c r="X34" i="8"/>
  <c r="AA34" i="8" s="1"/>
  <c r="X41" i="8"/>
  <c r="AA41" i="8" s="1"/>
  <c r="X42" i="8"/>
  <c r="AA42" i="8" s="1"/>
  <c r="X43" i="8"/>
  <c r="AA43" i="8" s="1"/>
  <c r="X44" i="8"/>
  <c r="AA44" i="8" s="1"/>
  <c r="X45" i="8"/>
  <c r="AA45" i="8" s="1"/>
  <c r="X52" i="8"/>
  <c r="AA52" i="8" s="1"/>
  <c r="Y52" i="8" s="1"/>
  <c r="V5" i="8" l="1"/>
  <c r="AA5" i="8"/>
  <c r="AC18" i="8"/>
  <c r="AC17" i="8"/>
  <c r="AC11" i="8"/>
  <c r="AC19" i="8"/>
  <c r="AC20" i="8"/>
  <c r="AG44" i="8"/>
  <c r="AC44" i="8"/>
  <c r="AG46" i="8"/>
  <c r="AC46" i="8"/>
  <c r="AG40" i="8"/>
  <c r="AC40" i="8"/>
  <c r="AG38" i="8"/>
  <c r="AC38" i="8"/>
  <c r="AG52" i="8"/>
  <c r="AC52" i="8"/>
  <c r="AG50" i="8"/>
  <c r="AC50" i="8"/>
  <c r="AC48" i="8"/>
  <c r="AG43" i="8"/>
  <c r="AC43" i="8"/>
  <c r="AG47" i="8"/>
  <c r="AC47" i="8"/>
  <c r="AG42" i="8"/>
  <c r="AC42" i="8"/>
  <c r="AG41" i="8"/>
  <c r="AC41" i="8"/>
  <c r="AG39" i="8"/>
  <c r="AC39" i="8"/>
  <c r="AG51" i="8"/>
  <c r="AC51" i="8"/>
  <c r="AG45" i="8"/>
  <c r="AC45" i="8"/>
  <c r="AG49" i="8"/>
  <c r="AC49" i="8"/>
  <c r="AC16" i="8"/>
  <c r="AC14" i="8"/>
  <c r="AC13" i="8"/>
  <c r="AC15" i="8"/>
  <c r="AC12" i="8"/>
  <c r="AC22" i="8"/>
  <c r="AG25" i="8"/>
  <c r="AC25" i="8"/>
  <c r="AG24" i="8"/>
  <c r="AC24" i="8"/>
  <c r="AC36" i="8"/>
  <c r="AG27" i="8"/>
  <c r="AC27" i="8"/>
  <c r="AG34" i="8"/>
  <c r="AC34" i="8"/>
  <c r="AG32" i="8"/>
  <c r="AC32" i="8"/>
  <c r="AG33" i="8"/>
  <c r="AC33" i="8"/>
  <c r="AG37" i="8"/>
  <c r="AC37" i="8"/>
  <c r="AG29" i="8"/>
  <c r="AC29" i="8"/>
  <c r="AG26" i="8"/>
  <c r="AC26" i="8"/>
  <c r="AG31" i="8"/>
  <c r="AC31" i="8"/>
  <c r="AG30" i="8"/>
  <c r="AC30" i="8"/>
  <c r="AC35" i="8"/>
  <c r="AC23" i="8"/>
  <c r="AG28" i="8"/>
  <c r="AC28" i="8"/>
  <c r="AG19" i="8"/>
  <c r="AG22" i="8"/>
  <c r="AG17" i="8"/>
  <c r="AG15" i="8"/>
  <c r="AG18" i="8"/>
  <c r="AG16" i="8"/>
  <c r="AG14" i="8"/>
  <c r="AG20" i="8"/>
  <c r="AG11" i="8"/>
  <c r="AG13" i="8"/>
  <c r="AG12" i="8"/>
  <c r="AG23" i="8"/>
  <c r="Q5" i="8"/>
  <c r="AE36" i="8"/>
  <c r="AE48" i="8"/>
  <c r="AE35" i="8"/>
  <c r="AG48" i="8"/>
  <c r="AG35" i="8"/>
  <c r="AG36" i="8"/>
  <c r="AE27" i="8"/>
  <c r="AE15" i="8"/>
  <c r="AE12" i="8"/>
  <c r="AE40" i="8"/>
  <c r="AE52" i="8"/>
  <c r="AE18" i="8"/>
  <c r="AE41" i="8"/>
  <c r="AE30" i="8"/>
  <c r="AE50" i="8"/>
  <c r="AE39" i="8"/>
  <c r="AE28" i="8"/>
  <c r="AE16" i="8"/>
  <c r="AE29" i="8"/>
  <c r="AE49" i="8"/>
  <c r="AE26" i="8"/>
  <c r="AE47" i="8"/>
  <c r="AE13" i="8"/>
  <c r="AE24" i="8"/>
  <c r="AE45" i="8"/>
  <c r="AE34" i="8"/>
  <c r="AE23" i="8"/>
  <c r="AE11" i="8"/>
  <c r="AE51" i="8"/>
  <c r="AE17" i="8"/>
  <c r="AE38" i="8"/>
  <c r="AE37" i="8"/>
  <c r="AE46" i="8"/>
  <c r="AE44" i="8"/>
  <c r="AE33" i="8"/>
  <c r="AE22" i="8"/>
  <c r="AE25" i="8"/>
  <c r="AE43" i="8"/>
  <c r="AE32" i="8"/>
  <c r="AE20" i="8"/>
  <c r="AE14" i="8"/>
  <c r="AE42" i="8"/>
  <c r="AE31" i="8"/>
  <c r="AE19" i="8"/>
  <c r="AI40" i="8"/>
  <c r="AI16" i="8"/>
  <c r="AI52" i="8"/>
  <c r="AI41" i="8"/>
  <c r="AI30" i="8"/>
  <c r="AI18" i="8"/>
  <c r="AI17" i="8"/>
  <c r="AI15" i="8"/>
  <c r="AI14" i="8"/>
  <c r="AI13" i="8"/>
  <c r="AI12" i="8"/>
  <c r="AI28" i="8"/>
  <c r="AI26" i="8"/>
  <c r="AI47" i="8"/>
  <c r="AI45" i="8"/>
  <c r="AI34" i="8"/>
  <c r="AI23" i="8"/>
  <c r="AI11" i="8"/>
  <c r="AI29" i="8"/>
  <c r="AI27" i="8"/>
  <c r="AI37" i="8"/>
  <c r="AI25" i="8"/>
  <c r="AI24" i="8"/>
  <c r="AI44" i="8"/>
  <c r="AI33" i="8"/>
  <c r="AI22" i="8"/>
  <c r="AI51" i="8"/>
  <c r="AI50" i="8"/>
  <c r="AI49" i="8"/>
  <c r="AI35" i="8"/>
  <c r="AI43" i="8"/>
  <c r="AI32" i="8"/>
  <c r="AI20" i="8"/>
  <c r="AI39" i="8"/>
  <c r="AI38" i="8"/>
  <c r="AI48" i="8"/>
  <c r="AI36" i="8"/>
  <c r="AI46" i="8"/>
  <c r="AI42" i="8"/>
  <c r="AI31" i="8"/>
  <c r="AI19" i="8"/>
  <c r="AF51" i="8" l="1"/>
  <c r="AD33" i="8"/>
  <c r="AD44" i="8"/>
  <c r="AD46" i="8"/>
  <c r="AD30" i="8"/>
  <c r="AD26" i="8"/>
  <c r="AD42" i="8"/>
  <c r="AD40" i="8"/>
  <c r="AD49" i="8"/>
  <c r="AD50" i="8"/>
  <c r="AD34" i="8"/>
  <c r="AD22" i="8"/>
  <c r="AD41" i="8"/>
  <c r="AD31" i="8"/>
  <c r="AD38" i="8"/>
  <c r="AD43" i="8"/>
  <c r="AD45" i="8"/>
  <c r="AD47" i="8"/>
  <c r="AD48" i="8"/>
  <c r="AD29" i="8"/>
  <c r="AD37" i="8"/>
  <c r="AD28" i="8"/>
  <c r="AD12" i="8"/>
  <c r="AD20" i="8"/>
  <c r="AF41" i="8"/>
  <c r="AD52" i="8"/>
  <c r="AD39" i="8"/>
  <c r="AF39" i="8"/>
  <c r="AD51" i="8"/>
  <c r="AD27" i="8"/>
  <c r="AC5" i="8"/>
  <c r="AD17" i="8"/>
  <c r="AD18" i="8"/>
  <c r="AF24" i="8"/>
  <c r="AD36" i="8"/>
  <c r="AD23" i="8"/>
  <c r="AD32" i="8"/>
  <c r="AF25" i="8"/>
  <c r="AD35" i="8"/>
  <c r="AD13" i="8"/>
  <c r="AD15" i="8"/>
  <c r="AD24" i="8"/>
  <c r="AF30" i="8"/>
  <c r="AD25" i="8"/>
  <c r="AD16" i="8"/>
  <c r="AD14" i="8"/>
  <c r="AD11" i="8"/>
  <c r="AD19" i="8"/>
  <c r="AF18" i="8"/>
  <c r="AF17" i="8"/>
  <c r="AF48" i="8"/>
  <c r="AF32" i="8"/>
  <c r="AF35" i="8"/>
  <c r="AF12" i="8"/>
  <c r="AF47" i="8"/>
  <c r="AF52" i="8"/>
  <c r="AF40" i="8"/>
  <c r="AF50" i="8"/>
  <c r="AF43" i="8"/>
  <c r="AF45" i="8"/>
  <c r="AF31" i="8"/>
  <c r="AF29" i="8"/>
  <c r="AF19" i="8"/>
  <c r="AE5" i="8"/>
  <c r="AF44" i="8"/>
  <c r="AF26" i="8"/>
  <c r="AF16" i="8"/>
  <c r="AF15" i="8"/>
  <c r="AF11" i="8"/>
  <c r="AF28" i="8"/>
  <c r="AF49" i="8"/>
  <c r="AF46" i="8"/>
  <c r="AF23" i="8"/>
  <c r="AF13" i="8"/>
  <c r="AF42" i="8"/>
  <c r="AF22" i="8"/>
  <c r="AF36" i="8"/>
  <c r="AF34" i="8"/>
  <c r="AF27" i="8"/>
  <c r="AF20" i="8"/>
  <c r="AF33" i="8"/>
  <c r="AF37" i="8"/>
  <c r="AF14" i="8"/>
  <c r="AF38" i="8"/>
  <c r="AD5" i="8" l="1"/>
  <c r="AI5" i="8"/>
  <c r="AB5" i="8"/>
  <c r="AF5" i="8"/>
  <c r="AG5" i="8"/>
  <c r="X5" i="8"/>
  <c r="O11" i="8"/>
  <c r="O12" i="8"/>
  <c r="W12" i="8" s="1"/>
  <c r="Y12" i="8" s="1"/>
  <c r="O13" i="8"/>
  <c r="W13" i="8" s="1"/>
  <c r="Y13" i="8" s="1"/>
  <c r="O14" i="8"/>
  <c r="W14" i="8" s="1"/>
  <c r="Y14" i="8" s="1"/>
  <c r="O15" i="8"/>
  <c r="W15" i="8" s="1"/>
  <c r="Y15" i="8" s="1"/>
  <c r="O16" i="8"/>
  <c r="W16" i="8" s="1"/>
  <c r="Y16" i="8" s="1"/>
  <c r="O17" i="8"/>
  <c r="W17" i="8" s="1"/>
  <c r="Y17" i="8" s="1"/>
  <c r="O18" i="8"/>
  <c r="W18" i="8" s="1"/>
  <c r="Y18" i="8" s="1"/>
  <c r="O19" i="8"/>
  <c r="W19" i="8" s="1"/>
  <c r="Y19" i="8" s="1"/>
  <c r="O20" i="8"/>
  <c r="W20" i="8" s="1"/>
  <c r="Y20" i="8" s="1"/>
  <c r="W22" i="8"/>
  <c r="Y22" i="8" s="1"/>
  <c r="O23" i="8"/>
  <c r="W23" i="8" s="1"/>
  <c r="Y23" i="8" s="1"/>
  <c r="O24" i="8"/>
  <c r="W24" i="8" s="1"/>
  <c r="Y24" i="8" s="1"/>
  <c r="O25" i="8"/>
  <c r="W25" i="8" s="1"/>
  <c r="Y25" i="8" s="1"/>
  <c r="O26" i="8"/>
  <c r="W26" i="8" s="1"/>
  <c r="Y26" i="8" s="1"/>
  <c r="O27" i="8"/>
  <c r="W27" i="8" s="1"/>
  <c r="Y27" i="8" s="1"/>
  <c r="O28" i="8"/>
  <c r="W28" i="8" s="1"/>
  <c r="Y28" i="8" s="1"/>
  <c r="O29" i="8"/>
  <c r="W29" i="8" s="1"/>
  <c r="Y29" i="8" s="1"/>
  <c r="O30" i="8"/>
  <c r="W30" i="8" s="1"/>
  <c r="Y30" i="8" s="1"/>
  <c r="O31" i="8"/>
  <c r="W31" i="8" s="1"/>
  <c r="Y31" i="8" s="1"/>
  <c r="O32" i="8"/>
  <c r="W32" i="8" s="1"/>
  <c r="Y32" i="8" s="1"/>
  <c r="O33" i="8"/>
  <c r="W33" i="8" s="1"/>
  <c r="Y33" i="8" s="1"/>
  <c r="O34" i="8"/>
  <c r="W34" i="8" s="1"/>
  <c r="Y34" i="8" s="1"/>
  <c r="O35" i="8"/>
  <c r="W35" i="8" s="1"/>
  <c r="Y35" i="8" s="1"/>
  <c r="O36" i="8"/>
  <c r="W36" i="8" s="1"/>
  <c r="Y36" i="8" s="1"/>
  <c r="O37" i="8"/>
  <c r="W37" i="8" s="1"/>
  <c r="Y37" i="8" s="1"/>
  <c r="O38" i="8"/>
  <c r="W38" i="8" s="1"/>
  <c r="Y38" i="8" s="1"/>
  <c r="O39" i="8"/>
  <c r="W39" i="8" s="1"/>
  <c r="Y39" i="8" s="1"/>
  <c r="O40" i="8"/>
  <c r="W40" i="8" s="1"/>
  <c r="Y40" i="8" s="1"/>
  <c r="O41" i="8"/>
  <c r="W41" i="8" s="1"/>
  <c r="Y41" i="8" s="1"/>
  <c r="O42" i="8"/>
  <c r="W42" i="8" s="1"/>
  <c r="Y42" i="8" s="1"/>
  <c r="O43" i="8"/>
  <c r="W43" i="8" s="1"/>
  <c r="Y43" i="8" s="1"/>
  <c r="O44" i="8"/>
  <c r="W44" i="8" s="1"/>
  <c r="Y44" i="8" s="1"/>
  <c r="O45" i="8"/>
  <c r="W45" i="8" s="1"/>
  <c r="Y45" i="8" s="1"/>
  <c r="O46" i="8"/>
  <c r="W46" i="8" s="1"/>
  <c r="Y46" i="8" s="1"/>
  <c r="O47" i="8"/>
  <c r="W47" i="8" s="1"/>
  <c r="Y47" i="8" s="1"/>
  <c r="O48" i="8"/>
  <c r="W48" i="8" s="1"/>
  <c r="Y48" i="8" s="1"/>
  <c r="O49" i="8"/>
  <c r="W49" i="8" s="1"/>
  <c r="Y49" i="8" s="1"/>
  <c r="O50" i="8"/>
  <c r="W50" i="8" s="1"/>
  <c r="Y50" i="8" s="1"/>
  <c r="O51" i="8"/>
  <c r="W51" i="8" s="1"/>
  <c r="Y51" i="8" s="1"/>
  <c r="O52" i="8"/>
  <c r="W11" i="8" l="1"/>
  <c r="Y11" i="8" s="1"/>
  <c r="O5" i="8"/>
  <c r="W5" i="8" l="1"/>
</calcChain>
</file>

<file path=xl/sharedStrings.xml><?xml version="1.0" encoding="utf-8"?>
<sst xmlns="http://schemas.openxmlformats.org/spreadsheetml/2006/main" count="1496" uniqueCount="463">
  <si>
    <t>DATA PROPOSTA</t>
  </si>
  <si>
    <t>VALIDADE</t>
  </si>
  <si>
    <t>VENDEDOR</t>
  </si>
  <si>
    <t>CONTATO VENDEDOR</t>
  </si>
  <si>
    <t>TELEFONE</t>
  </si>
  <si>
    <t>E-MAIL</t>
  </si>
  <si>
    <t>CLIENTE</t>
  </si>
  <si>
    <t>CONTATO CLIENTE</t>
  </si>
  <si>
    <t>PROPOSTA COMERCIAL - DOOH</t>
  </si>
  <si>
    <t>Bandeira</t>
  </si>
  <si>
    <t>Numero da loja</t>
  </si>
  <si>
    <t>Nome da Loja</t>
  </si>
  <si>
    <t>Público</t>
  </si>
  <si>
    <t>Endereço</t>
  </si>
  <si>
    <t>Cidade / Municipio</t>
  </si>
  <si>
    <t>UF</t>
  </si>
  <si>
    <t>Coordenadas</t>
  </si>
  <si>
    <t>Faixa etária majoritária</t>
  </si>
  <si>
    <t>% Público Feminino</t>
  </si>
  <si>
    <t>% Público Masculino</t>
  </si>
  <si>
    <t>Frequencia de compras</t>
  </si>
  <si>
    <t>Ticket médio</t>
  </si>
  <si>
    <t>Tráfego Mensal</t>
  </si>
  <si>
    <t>Tráfego por dia</t>
  </si>
  <si>
    <t>Telas (faces) por loja</t>
  </si>
  <si>
    <t>Telas (faces) ativadas por loja</t>
  </si>
  <si>
    <t>Valor diária / cota</t>
  </si>
  <si>
    <t>Cotas / Frequência</t>
  </si>
  <si>
    <t>Período da campanha (em dias)</t>
  </si>
  <si>
    <t>Quantidade de inserções na grade/dia</t>
  </si>
  <si>
    <t>Exibições (Inserções x Qtd. Faces)</t>
  </si>
  <si>
    <t>Impactos estimados (Audiência X Faces)</t>
  </si>
  <si>
    <t>Proposta Investimento</t>
  </si>
  <si>
    <t>CPM</t>
  </si>
  <si>
    <t>Negociação por volume</t>
  </si>
  <si>
    <t>TOTAL</t>
  </si>
  <si>
    <t>Custo telas</t>
  </si>
  <si>
    <t>Margem liq CS (VD)</t>
  </si>
  <si>
    <t>Margem liq CS (VI)</t>
  </si>
  <si>
    <t>RECEITA LIQ. CENCOSUD (VD)</t>
  </si>
  <si>
    <t>RECEITA LIQ. CENCOSUD (VI)</t>
  </si>
  <si>
    <t>RECEITA LIQ. PARCEIRO REVENDA</t>
  </si>
  <si>
    <t>BV AGÊNCIA (%)</t>
  </si>
  <si>
    <t>BV AGÊNCIA (R$)</t>
  </si>
  <si>
    <t>Prezunic</t>
  </si>
  <si>
    <t>B743</t>
  </si>
  <si>
    <t>VILA ISABEL</t>
  </si>
  <si>
    <t>Classe AB</t>
  </si>
  <si>
    <t>BVD VINTE E OITO DE SETEMBRO 160</t>
  </si>
  <si>
    <t>Rio de Janeiro</t>
  </si>
  <si>
    <t>RJ</t>
  </si>
  <si>
    <t>-22.914270658488363, -43.24147412434679</t>
  </si>
  <si>
    <t>36 a 45 anos</t>
  </si>
  <si>
    <t>B721</t>
  </si>
  <si>
    <t xml:space="preserve">NILOPOLIS    </t>
  </si>
  <si>
    <t>Classe BC</t>
  </si>
  <si>
    <t>AV.GETULIO DE MOURA 1591</t>
  </si>
  <si>
    <t>-22.80741793119234, -43.41629512683373</t>
  </si>
  <si>
    <t>B717</t>
  </si>
  <si>
    <t xml:space="preserve">CAXIAS CENTRO   </t>
  </si>
  <si>
    <t>RUA JOSE DE ALVARENGA 95</t>
  </si>
  <si>
    <t>-22.785087261274853, -43.31192095351937</t>
  </si>
  <si>
    <t>B729</t>
  </si>
  <si>
    <t xml:space="preserve">MEIER    </t>
  </si>
  <si>
    <t>RUA DIAS DA CRUZ, 579</t>
  </si>
  <si>
    <t>-22.905324779828735, -43.29101220252719</t>
  </si>
  <si>
    <t>B728</t>
  </si>
  <si>
    <t xml:space="preserve">ILHA DO GOVERNADOR  </t>
  </si>
  <si>
    <t>ESTRADA DO GALEAO 1800</t>
  </si>
  <si>
    <t>-22.805308466767983, -43.20013694886808</t>
  </si>
  <si>
    <t>B731</t>
  </si>
  <si>
    <t xml:space="preserve">BOTAFOGO    </t>
  </si>
  <si>
    <t>RUA GAL.POLIDORO 260</t>
  </si>
  <si>
    <t>-22.956637138881586, -43.18911290918924</t>
  </si>
  <si>
    <t>B734</t>
  </si>
  <si>
    <t xml:space="preserve">BARRA    </t>
  </si>
  <si>
    <t>Avenida das Américas, 13850</t>
  </si>
  <si>
    <t>-23.006165581040694, -43.43938937130917</t>
  </si>
  <si>
    <t>B736</t>
  </si>
  <si>
    <t xml:space="preserve">SHOPPING JACAREPAGUA   </t>
  </si>
  <si>
    <t>EST DE JACAREPAGUA 6069</t>
  </si>
  <si>
    <t>-22.9560341145239, -43.33891486004507</t>
  </si>
  <si>
    <t>B719</t>
  </si>
  <si>
    <t xml:space="preserve">TAQUARA    </t>
  </si>
  <si>
    <t>EST.DOS BANDEIRANTES 105</t>
  </si>
  <si>
    <t>-22.9240219522162, -43.373418889179135</t>
  </si>
  <si>
    <t>B711</t>
  </si>
  <si>
    <t xml:space="preserve">JAURU    </t>
  </si>
  <si>
    <t>PRAÇA JAURU 32</t>
  </si>
  <si>
    <t>-22.91562615952042, -43.37819910040663</t>
  </si>
  <si>
    <t>B725</t>
  </si>
  <si>
    <t xml:space="preserve">VILAR DOS TELES  </t>
  </si>
  <si>
    <t>AV.AUTOMOVEL CLUB 1659</t>
  </si>
  <si>
    <t>-22.7769180551363, -43.36136223764019</t>
  </si>
  <si>
    <t>B733</t>
  </si>
  <si>
    <t xml:space="preserve">SANTA CRUZ   </t>
  </si>
  <si>
    <t>RUA DOM PEDRO I, 33</t>
  </si>
  <si>
    <t>-22.914837928425328, -43.68252392005245</t>
  </si>
  <si>
    <t>B722</t>
  </si>
  <si>
    <t xml:space="preserve">FONSECA    </t>
  </si>
  <si>
    <t>ALAMEDA SÃO BOAVENTURA 1012</t>
  </si>
  <si>
    <t>-22.88031116651402, -43.109215561315835</t>
  </si>
  <si>
    <t>B710</t>
  </si>
  <si>
    <t xml:space="preserve">CAMPO GRANDE   </t>
  </si>
  <si>
    <t>ESTRADA DO CABUÇU</t>
  </si>
  <si>
    <t>-22.916196423289257, -43.53748004626678</t>
  </si>
  <si>
    <t>B707</t>
  </si>
  <si>
    <t xml:space="preserve">FREGUESIA    </t>
  </si>
  <si>
    <t>ESTRADA DE JACAREPAGUA 7153</t>
  </si>
  <si>
    <t>-22.94554870143045, -43.34038359138768</t>
  </si>
  <si>
    <t>B702</t>
  </si>
  <si>
    <t>RECREIO</t>
  </si>
  <si>
    <t>Av. das Américas, 16100 - Recreio dos Bandeirantes, Rio de Janeiro - RJ, 22790-704</t>
  </si>
  <si>
    <t>-23.013999, -43.469551</t>
  </si>
  <si>
    <t>Bretas</t>
  </si>
  <si>
    <t>B644</t>
  </si>
  <si>
    <t>CARDOSO</t>
  </si>
  <si>
    <t>Rua Independência n 51-Jardim Lisboa - Goiânia</t>
  </si>
  <si>
    <t>Goiânia</t>
  </si>
  <si>
    <t>GO</t>
  </si>
  <si>
    <t>-16.766898489211687, -49.321659009094056</t>
  </si>
  <si>
    <t>46 a 55 anos</t>
  </si>
  <si>
    <t>B516</t>
  </si>
  <si>
    <t xml:space="preserve">LARANJEIRAS    </t>
  </si>
  <si>
    <t>Av d Contorno n 2.914-Vila Legionarias-Goiânia-Go</t>
  </si>
  <si>
    <t>-16.67085488130379, -49.252336808590286</t>
  </si>
  <si>
    <t>B619</t>
  </si>
  <si>
    <t xml:space="preserve">VILA PEDROSO CD  </t>
  </si>
  <si>
    <t>Av. Anapolis nº 2.121,Vila Pedroso-Goiânia-Go</t>
  </si>
  <si>
    <t>-16.659584220146233, -49.18464427604393</t>
  </si>
  <si>
    <t>B662</t>
  </si>
  <si>
    <t xml:space="preserve">SENADOR CANEDO   </t>
  </si>
  <si>
    <t>Av Dom Emanuel, N 2916,LT 01 A 16,QD4/5-Bairro Alvorada-Senador Canedo-Go</t>
  </si>
  <si>
    <t>Senador Canedo</t>
  </si>
  <si>
    <t>-16.68906299249785, -49.10899169323758</t>
  </si>
  <si>
    <t>B545</t>
  </si>
  <si>
    <t xml:space="preserve">ARMAZEM    </t>
  </si>
  <si>
    <t>Rua T-55, nº 611, Qd 104, Lt 01 E – Setor Bueno - Goiânia - GO</t>
  </si>
  <si>
    <t>-16.703717130790228, -49.26813413371439</t>
  </si>
  <si>
    <t>B631</t>
  </si>
  <si>
    <t>VEIGA JARDIM</t>
  </si>
  <si>
    <t>Av. Escultor Veiga Vale s/n qd 26 lt 01 Pq Veiga Jardim-Aparecida de Goiânia</t>
  </si>
  <si>
    <t>-16.785909707235714, -49.278750223434706</t>
  </si>
  <si>
    <t>B651</t>
  </si>
  <si>
    <t xml:space="preserve">ALPHAVILLE    </t>
  </si>
  <si>
    <t>Av. F, nº 1.781, Qd CH, Lt 40 – Agua Branca-Goiânia -Go</t>
  </si>
  <si>
    <t>-16.697563474233032, -49.21542802445402</t>
  </si>
  <si>
    <t>B648</t>
  </si>
  <si>
    <t>MONTE CRISTO</t>
  </si>
  <si>
    <t>Av. Independência, S/N, Qd 16, Lt 20 – Jardim Monte-Aparecida de Goiânia</t>
  </si>
  <si>
    <t>Aparecida de Goiânia</t>
  </si>
  <si>
    <t>-16.823812477480192, -49.27816700901653</t>
  </si>
  <si>
    <t>B527</t>
  </si>
  <si>
    <t xml:space="preserve">ANHANGUERA    </t>
  </si>
  <si>
    <t>Av. Anhanguera, 5588 – Q 70 LT 13 – B. Setor Central – Goiânia – GO</t>
  </si>
  <si>
    <t>-16.675641010142137, -49.262948408586794</t>
  </si>
  <si>
    <t>B551</t>
  </si>
  <si>
    <t>SOL NASCENTE</t>
  </si>
  <si>
    <t>Av. T2, 3450 QD CH LT 01/05 – Setor Sol Nascente – Goiânia – GO</t>
  </si>
  <si>
    <t>-16.684577118051845, -49.292868497866536</t>
  </si>
  <si>
    <t>B656</t>
  </si>
  <si>
    <t>CAMPINAS SÃO JOSÉ</t>
  </si>
  <si>
    <t>Av. Padre Wendel,n 171-Setor São Jose-Goiânia-Go</t>
  </si>
  <si>
    <t>-16.663200533879106, -49.29804140213857</t>
  </si>
  <si>
    <t>B658</t>
  </si>
  <si>
    <t>GOIÁ</t>
  </si>
  <si>
    <t>Av. Sta Maria, S/N, Gleba I, Área II, Lote 1A a 1E, Goiânia - GO</t>
  </si>
  <si>
    <t>-16.680264589680466, -49.32709124798613</t>
  </si>
  <si>
    <t>B633</t>
  </si>
  <si>
    <t>MORADA DO SOL</t>
  </si>
  <si>
    <t>Av.Mangalô,S/N q 14,l 134,135 e 143-St Morada do Sol Goiânia-Go</t>
  </si>
  <si>
    <t>-16.617461809599998, -49.32164156930791</t>
  </si>
  <si>
    <t>B632</t>
  </si>
  <si>
    <t>CALDAS NOVAS</t>
  </si>
  <si>
    <t>R P, S/N Quadra 13B, Lote 2 – B Jardim Roma – Caldas Novas – GO</t>
  </si>
  <si>
    <t>Caldas Novas</t>
  </si>
  <si>
    <t>-17.74475141116183, -48.6227277371924</t>
  </si>
  <si>
    <t>B538</t>
  </si>
  <si>
    <t>GARAVELO</t>
  </si>
  <si>
    <t>RODOVIA GO 040, KM 6 - JARDINS LISBOA, Goiânia - GO, 74354-700</t>
  </si>
  <si>
    <t>-16.76864890196201, -49.351824469644185</t>
  </si>
  <si>
    <t>GBarbosa</t>
  </si>
  <si>
    <t>B035</t>
  </si>
  <si>
    <t xml:space="preserve">COSTA AZUL   </t>
  </si>
  <si>
    <t>RUA ARTHUR DE AZEVEDO MACHADO, Nº 3443,COSTA AZUL</t>
  </si>
  <si>
    <t>SALVADOR</t>
  </si>
  <si>
    <t>BA</t>
  </si>
  <si>
    <t>-12.991194359530214, -38.44855124905829</t>
  </si>
  <si>
    <t>B006</t>
  </si>
  <si>
    <t xml:space="preserve">HIPER JARDINS   </t>
  </si>
  <si>
    <t>AV SILVIO TEIXEIRA, 831</t>
  </si>
  <si>
    <t>ARACAJU</t>
  </si>
  <si>
    <t>SE</t>
  </si>
  <si>
    <t>-10.941715360028976, -37.058587464404674</t>
  </si>
  <si>
    <t>B020</t>
  </si>
  <si>
    <t xml:space="preserve">HIPER FRANCISCO PORTO  </t>
  </si>
  <si>
    <t>AV FRANCISCO PORTO 250</t>
  </si>
  <si>
    <t>-10.933586249976143, -37.052277605396476</t>
  </si>
  <si>
    <t>B090</t>
  </si>
  <si>
    <t xml:space="preserve">HIPER RIOMAR   </t>
  </si>
  <si>
    <t>AV LUIZ LUA GONZAGA, 400 COROA DO MEIO</t>
  </si>
  <si>
    <t>-10.945294651801756, -37.048484961821416</t>
  </si>
  <si>
    <t>B084</t>
  </si>
  <si>
    <t xml:space="preserve">HIPER STELLA MARES  </t>
  </si>
  <si>
    <t>RUA ENGENHEIRO PAULO BRANDAO NOGUEIRA</t>
  </si>
  <si>
    <t>MACEIO</t>
  </si>
  <si>
    <t>AL</t>
  </si>
  <si>
    <t>-9.647022037851366, -35.70469449746261</t>
  </si>
  <si>
    <t>B015</t>
  </si>
  <si>
    <t xml:space="preserve">HIPER RODOVIARIA - FEIRA </t>
  </si>
  <si>
    <t>RUA VASCO FILHO, S/N</t>
  </si>
  <si>
    <t>FEIRA DE SANTANA</t>
  </si>
  <si>
    <t>-12.263636177905868, -38.95773362022621</t>
  </si>
  <si>
    <t>B112</t>
  </si>
  <si>
    <t xml:space="preserve">VITORIA DA CONQUISTA  </t>
  </si>
  <si>
    <t>AV: OLIVIA FLORES S/N - VITORIA DA CONQUISTA -BA</t>
  </si>
  <si>
    <t>VITORIA DA CONQUISTA</t>
  </si>
  <si>
    <t>-14.866275385331447, -40.81966029120722</t>
  </si>
  <si>
    <t>B108</t>
  </si>
  <si>
    <t xml:space="preserve">LAURO DE FREITAS  </t>
  </si>
  <si>
    <t>AVENIDA LUIZ TARQUÍNIO,Nº 1886, LAURO DE FREITAS</t>
  </si>
  <si>
    <t>LAURO DE FREITAS</t>
  </si>
  <si>
    <t>-12.883216678146095, -38.307713650908944</t>
  </si>
  <si>
    <t>B014</t>
  </si>
  <si>
    <t xml:space="preserve">FAROLANDIA    </t>
  </si>
  <si>
    <t>AV JOSE TOMAZ DAVILA NABUCO</t>
  </si>
  <si>
    <t>-10.973919444010006, -37.06414048397195</t>
  </si>
  <si>
    <t>B004</t>
  </si>
  <si>
    <t xml:space="preserve">HIPER SUL   </t>
  </si>
  <si>
    <t>AVENIDA MELICIO MACHADO</t>
  </si>
  <si>
    <t>-10.994441631343342, -37.06636044558929</t>
  </si>
  <si>
    <t>B037</t>
  </si>
  <si>
    <t xml:space="preserve">HIPER ALAGOINHAS   </t>
  </si>
  <si>
    <t>RUA DR. DANTAS BIÃO, S/N</t>
  </si>
  <si>
    <t>ALAGOINHAS</t>
  </si>
  <si>
    <t>-12.139031679848722, -38.41305274102315</t>
  </si>
  <si>
    <t>B302</t>
  </si>
  <si>
    <t xml:space="preserve">HORTO BELA VISTA  </t>
  </si>
  <si>
    <t>ALAMEDA EUVALDO LUZ  92,SHOPPING HORTO BELA VISTA</t>
  </si>
  <si>
    <t>-12.970617529876431, -38.4748068758812</t>
  </si>
  <si>
    <t>B031</t>
  </si>
  <si>
    <t xml:space="preserve">HIPER IGUATEMI CD  </t>
  </si>
  <si>
    <t>AV. ANTÔNIO CARLOS MAGALHÃES, Nº 4479 ,BROTAS</t>
  </si>
  <si>
    <t>-12.98002132381347, -38.47037737224486</t>
  </si>
  <si>
    <t>B034</t>
  </si>
  <si>
    <t xml:space="preserve">HIPER NORTE CD  </t>
  </si>
  <si>
    <t>AV OSVALDO ARANHA, 1240</t>
  </si>
  <si>
    <t>-10.906587561124956, -37.0857271725282</t>
  </si>
  <si>
    <t>B116</t>
  </si>
  <si>
    <t xml:space="preserve">PATIO    </t>
  </si>
  <si>
    <t>Av. Menino Marcelo, 3800 - Cidade Universitária, Maceió - AL, 57073-900</t>
  </si>
  <si>
    <t>-9.559747575517243, -35.74497658973716</t>
  </si>
  <si>
    <t>GIGA</t>
  </si>
  <si>
    <t>A101</t>
  </si>
  <si>
    <t>LIMAO</t>
  </si>
  <si>
    <t>A102</t>
  </si>
  <si>
    <t>TAMBORE</t>
  </si>
  <si>
    <t>A107</t>
  </si>
  <si>
    <t>CARAPICUIBA</t>
  </si>
  <si>
    <t>A103</t>
  </si>
  <si>
    <t>CACHOEIRINHA</t>
  </si>
  <si>
    <t>A105</t>
  </si>
  <si>
    <t>RAPOSO</t>
  </si>
  <si>
    <t>A106</t>
  </si>
  <si>
    <t>JUNDIAI</t>
  </si>
  <si>
    <t>A108</t>
  </si>
  <si>
    <t>BARRA FUNDA</t>
  </si>
  <si>
    <t>A304</t>
  </si>
  <si>
    <t>TREMEMBE</t>
  </si>
  <si>
    <t>A109</t>
  </si>
  <si>
    <t>GUARULHOS</t>
  </si>
  <si>
    <t>A113</t>
  </si>
  <si>
    <t>NACOES UNID</t>
  </si>
  <si>
    <t>A301</t>
  </si>
  <si>
    <t>OSASCO</t>
  </si>
  <si>
    <t>A115</t>
  </si>
  <si>
    <t>CAMPINAS</t>
  </si>
  <si>
    <t>A300</t>
  </si>
  <si>
    <t>VARZEA</t>
  </si>
  <si>
    <t>Status</t>
  </si>
  <si>
    <t>#</t>
  </si>
  <si>
    <t>INSTALADA</t>
  </si>
  <si>
    <t>CATUMBI</t>
  </si>
  <si>
    <t>RUA ITAPIRU 474</t>
  </si>
  <si>
    <t>-22,9250003,-43,1993606</t>
  </si>
  <si>
    <t>SENADOR CAMARÁ</t>
  </si>
  <si>
    <t>AV.SANTA CRUZ 7138</t>
  </si>
  <si>
    <t>-22,883072,-43,4949128</t>
  </si>
  <si>
    <t>BENFICA</t>
  </si>
  <si>
    <t>AV.DOM HELDER CAMARA 79</t>
  </si>
  <si>
    <t>-22,8849895,-43,2526149</t>
  </si>
  <si>
    <t>ENGENHO NOVO</t>
  </si>
  <si>
    <t>RUA SOUZA BARROS 450</t>
  </si>
  <si>
    <t>-22,9025622,-43,2697759</t>
  </si>
  <si>
    <t>PECHINCHA</t>
  </si>
  <si>
    <t>ESTRADA DO TINDIBA 565</t>
  </si>
  <si>
    <t>-22,9275948,-43,3591406</t>
  </si>
  <si>
    <t>REALENGO</t>
  </si>
  <si>
    <t>AV.MARECHAL FONTENELLE 5100</t>
  </si>
  <si>
    <t>-22,8808189,-43,4132522</t>
  </si>
  <si>
    <t>CAXIAS CENTENARIO</t>
  </si>
  <si>
    <t>RUA DR.MANOEL REIS 175</t>
  </si>
  <si>
    <t>-22,7602797,-43,4040486</t>
  </si>
  <si>
    <t>OLARIA</t>
  </si>
  <si>
    <t>RUA URANOS 1293</t>
  </si>
  <si>
    <t>-22,8503948,-43,265358</t>
  </si>
  <si>
    <t>VISTA ALEGRE</t>
  </si>
  <si>
    <t>AV.BRAS DE PINA 1952</t>
  </si>
  <si>
    <t>-22,8333005,-43,3188035</t>
  </si>
  <si>
    <t>CIDADE DE DEUS</t>
  </si>
  <si>
    <t>EST.MAL.MIGUEL SALAZAR M.MORAIS 906</t>
  </si>
  <si>
    <t>-22,94803,-43,362903</t>
  </si>
  <si>
    <t>CAMPINHO</t>
  </si>
  <si>
    <t>RUA CANDIDO BENICIO 20</t>
  </si>
  <si>
    <t>-22,8861545,-43,3441153</t>
  </si>
  <si>
    <t>ITAOCA</t>
  </si>
  <si>
    <t>ESTRADA DO TIMBO 52</t>
  </si>
  <si>
    <t>-22,8692837,-43,2689338</t>
  </si>
  <si>
    <t>PENHA</t>
  </si>
  <si>
    <t>RUA BENTO CARDOSO 313</t>
  </si>
  <si>
    <t>-22,834156,-43,289537</t>
  </si>
  <si>
    <t>CACHAMBI</t>
  </si>
  <si>
    <t>RUA MIGUEL DE CERVANTES 240</t>
  </si>
  <si>
    <t>-22,8897728,-43,2743347</t>
  </si>
  <si>
    <t>PADRE MIGUEL</t>
  </si>
  <si>
    <t>RUA GAL.JAQUES OURIQUES 770</t>
  </si>
  <si>
    <t>-22,8484866,-43,2706124</t>
  </si>
  <si>
    <t>ICARAI</t>
  </si>
  <si>
    <t>RUA CEL.MOREIRA CESAR 414-A</t>
  </si>
  <si>
    <t>-22,9073199,-43,1102423</t>
  </si>
  <si>
    <t>TIJUCA</t>
  </si>
  <si>
    <t>Uruguai, 00330</t>
  </si>
  <si>
    <t>-22,930929,-43,2382858</t>
  </si>
  <si>
    <t>JARDIM OCEANICO</t>
  </si>
  <si>
    <t>AV. RODOLFO AMOEDO 347</t>
  </si>
  <si>
    <t>-23,010755,-43,3172114</t>
  </si>
  <si>
    <t>MARICA</t>
  </si>
  <si>
    <t>RUA ABREU SODRE, 27</t>
  </si>
  <si>
    <t>-22,9147171,-42,8188551</t>
  </si>
  <si>
    <t>VOLUNTARIOS</t>
  </si>
  <si>
    <t>R VOLUNTARIOS DA PATRIA 222</t>
  </si>
  <si>
    <t>-22,9540802,-43,1919127</t>
  </si>
  <si>
    <t>LARANJEIRAS</t>
  </si>
  <si>
    <t>Das Laranjeiras, 139</t>
  </si>
  <si>
    <t>-22,9323801,-43,1822914</t>
  </si>
  <si>
    <t>BARRA MARAPENDI</t>
  </si>
  <si>
    <t>AV DAS AMERICAS 4245</t>
  </si>
  <si>
    <t>-22,9965804,-43,3656942</t>
  </si>
  <si>
    <t>TINGUI</t>
  </si>
  <si>
    <t>EST DO TINGUI 1333</t>
  </si>
  <si>
    <t>-22,8996419,-43,5494151</t>
  </si>
  <si>
    <t>Prezunic GO</t>
  </si>
  <si>
    <t>GOIÂNIA SHOPPING</t>
  </si>
  <si>
    <t>RUA T-70, Nº 67, QD. 136, LT. 1/7, 10/12 – SETOR BUENO-GOIÂNIA GO</t>
  </si>
  <si>
    <t>GOIÂNIA</t>
  </si>
  <si>
    <t>-16,697876,-49,277922</t>
  </si>
  <si>
    <t>JATAÍ SHOPPING</t>
  </si>
  <si>
    <t>AVENIDA PRESIDENTE TANCREDO NEVES N 100 - SETOR EPAMINONDAS II - JATAI GO</t>
  </si>
  <si>
    <t>JATAÍ</t>
  </si>
  <si>
    <t>-17,8682874,-51,7309808</t>
  </si>
  <si>
    <t>RIO VERDE</t>
  </si>
  <si>
    <t>AV. PRESIDENTE VARGAS, Nº 1740, JARDIM GOIAS, RIO VERDE GO</t>
  </si>
  <si>
    <t>-17,8066685,-50,945571</t>
  </si>
  <si>
    <t>VILA JARAGUÁ</t>
  </si>
  <si>
    <t>AV ENGENHEIRO FUAD RASSI, 796 – Q U LT 1/5 – B.VILA JARAGUÁ – GOIÂNIA – GO</t>
  </si>
  <si>
    <t>-16,6537097,-49,2532607</t>
  </si>
  <si>
    <t>DESATIVADA</t>
  </si>
  <si>
    <t>ESPLANADA</t>
  </si>
  <si>
    <t>PRAÇA LADISLAU CAVALCANTE, Nº 18</t>
  </si>
  <si>
    <t>-11,8008703,-37,9480779</t>
  </si>
  <si>
    <t>PCA. DA BANDEIRA</t>
  </si>
  <si>
    <t>PRAÇA DA BANDEIRA, Nº 01</t>
  </si>
  <si>
    <t>-12,1387946,-38,4249197</t>
  </si>
  <si>
    <t xml:space="preserve"> HIPER SERRARIA</t>
  </si>
  <si>
    <t>AV. MENINO MARCELO, Nº 9730</t>
  </si>
  <si>
    <t>MACÉIO</t>
  </si>
  <si>
    <t>-9,5621999,-35,7697579</t>
  </si>
  <si>
    <t xml:space="preserve"> HIPER PRAIA</t>
  </si>
  <si>
    <t>AV - GUSTAVO PAIVA N° 5395</t>
  </si>
  <si>
    <t>-9,6478561,-35,7147108</t>
  </si>
  <si>
    <t>BARRA DOS COQUEIROS</t>
  </si>
  <si>
    <t>Av. Gen. Antônio Sebastião Basílio Pirro, 1025 - Centro</t>
  </si>
  <si>
    <t>-10.9072905,-37.0279278</t>
  </si>
  <si>
    <t>HIPER SOCORRO</t>
  </si>
  <si>
    <t>AVENIDA COLETORA A S/N</t>
  </si>
  <si>
    <t>NOSSA SENHORA DO SOCORRO</t>
  </si>
  <si>
    <t>-10,8523588,-37,0806843</t>
  </si>
  <si>
    <t>VILA EDUARDO</t>
  </si>
  <si>
    <t>AV. DA INTEGRAÇÃO, 583, ANEXO 01</t>
  </si>
  <si>
    <t>PETROLINA</t>
  </si>
  <si>
    <t>PE</t>
  </si>
  <si>
    <t>-9,3970814,-40,506023</t>
  </si>
  <si>
    <t>MATATU - JUAZEIRO</t>
  </si>
  <si>
    <t>TRAVESSA MATATU, S/N</t>
  </si>
  <si>
    <t>JUAZEIRO</t>
  </si>
  <si>
    <t>-9,4213221,-40,5014964</t>
  </si>
  <si>
    <t>SHOP VIT DA CONQUISTA</t>
  </si>
  <si>
    <t>AV. JURACY MAGALHÃES - 3340 - JUREMA - VITÓRIA DA CONQUISTA - BAHIA - CEP 45023-490</t>
  </si>
  <si>
    <t>V. DA CONQUISTA</t>
  </si>
  <si>
    <t>-14,8665451,-40,8446514</t>
  </si>
  <si>
    <t>ILHEUS</t>
  </si>
  <si>
    <t>AV. LOMANTO JUNIOR Nº 786 PONTAL ILHÉUS-BA</t>
  </si>
  <si>
    <t>ILHÉUS</t>
  </si>
  <si>
    <t>-14,8116323,-39,032293</t>
  </si>
  <si>
    <t>GUARAJUBA</t>
  </si>
  <si>
    <t>ROD BA 099 KM 42 GUARAJUBA,CAMAÇARI</t>
  </si>
  <si>
    <t>CAMAÇARI</t>
  </si>
  <si>
    <t>-12,650358,-38,0707556</t>
  </si>
  <si>
    <t>HIPER FONTES</t>
  </si>
  <si>
    <t>RUA MINISTRO NELSON HUNGRIA, 155</t>
  </si>
  <si>
    <t>-10,9339779,-37,063593</t>
  </si>
  <si>
    <t>SOROCABA</t>
  </si>
  <si>
    <t>R. Osmar de Oliveira</t>
  </si>
  <si>
    <t>SP</t>
  </si>
  <si>
    <t>-23,531707,-47,479952</t>
  </si>
  <si>
    <t>-</t>
  </si>
  <si>
    <t>LIMÃO</t>
  </si>
  <si>
    <t>AV. OTAVIANO ALVES DE LIMA</t>
  </si>
  <si>
    <t>SÃO PAULO</t>
  </si>
  <si>
    <t>-23,5070303,-46,6974424</t>
  </si>
  <si>
    <t>G02-TAMBORÉ</t>
  </si>
  <si>
    <t>ALAMEDA ARAGUAIA</t>
  </si>
  <si>
    <t>BARUERI</t>
  </si>
  <si>
    <t>-23,4976992,-46,8551168</t>
  </si>
  <si>
    <t>SP-270 (RODOVIA RAPOSO TAVARES)</t>
  </si>
  <si>
    <t>COTIA</t>
  </si>
  <si>
    <t>-23,5920595,-46,8330047</t>
  </si>
  <si>
    <t>JUNDIAÍ</t>
  </si>
  <si>
    <t>R. ZUFEREY</t>
  </si>
  <si>
    <t>-23,2073245,-46,8717313</t>
  </si>
  <si>
    <t>RUA BÁRBARA HIPÓLITO CAPRIOTTI</t>
  </si>
  <si>
    <t>CARAPICUÍBA</t>
  </si>
  <si>
    <t>-23,5185372,-46,8352767</t>
  </si>
  <si>
    <t>AV. PRES. CASTELO BRANCO</t>
  </si>
  <si>
    <t>-23,5243156,-46,6026801</t>
  </si>
  <si>
    <t>CACHOEIRINH</t>
  </si>
  <si>
    <t>RUA KOSHUN TAKARA</t>
  </si>
  <si>
    <t>-23,4629766,-46,6590446</t>
  </si>
  <si>
    <t>AV. PRES. TANCREDO DE ALMEIDA NEVES</t>
  </si>
  <si>
    <t>-23,437859,-46,4805562</t>
  </si>
  <si>
    <t>AV. CEL. SEZEFREDO FAGUNDES</t>
  </si>
  <si>
    <t>-23,4219562,-46,5894587</t>
  </si>
  <si>
    <t>ROD. DOM PEDRO I, KM 139</t>
  </si>
  <si>
    <t>-22,8951626,-47,0793334</t>
  </si>
  <si>
    <t>NACOES UNIDAS</t>
  </si>
  <si>
    <t>AV. DAS NAÇÕES UNIDAS</t>
  </si>
  <si>
    <t>-23,6204519,-46,7006298</t>
  </si>
  <si>
    <t>R. SOROCABA</t>
  </si>
  <si>
    <t>VÁRZEA PAULISTA</t>
  </si>
  <si>
    <t>-23,2067199,-46,8327747</t>
  </si>
  <si>
    <t>AV. DOS REMÉDIOS</t>
  </si>
  <si>
    <t>-23,5164122,-46,7564361</t>
  </si>
  <si>
    <t>SEM PREVISÃO</t>
  </si>
  <si>
    <t>PIRAPORINHA</t>
  </si>
  <si>
    <t>Av. Piraporinha, 317 - Planalto, São Bernardo do Campo - SP</t>
  </si>
  <si>
    <t>SÃO BERNARDO DO CAMPO</t>
  </si>
  <si>
    <t>-23.6915, -46.5817</t>
  </si>
  <si>
    <t>Contato Vendedor</t>
  </si>
  <si>
    <t>Contato Cliente</t>
  </si>
  <si>
    <t>Ad Plays (Inserções x Qtd. Faces)</t>
  </si>
  <si>
    <t>OTS por cliente (Oportunity to see)</t>
  </si>
  <si>
    <t>LTS (Likelihood To See)</t>
  </si>
  <si>
    <t>Impactos IAB / Impressões 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</si>
</sst>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_-;\-&quot;R$&quot;\ * #,##0_-;_-&quot;R$&quot;\ * &quot;-&quot;??_-;_-@_-"/>
    <numFmt numFmtId="166" formatCode="_-&quot;R$&quot;* #,##0.00_-;\-&quot;R$&quot;* #,##0.00_-;_-&quot;R$&quot;* &quot;-&quot;??_-;_-@_-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2A8F66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AFFBE"/>
        <bgColor rgb="FF1C4587"/>
      </patternFill>
    </fill>
    <fill>
      <patternFill patternType="solid">
        <fgColor rgb="FF2A8F66"/>
        <bgColor rgb="FF1C458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rgb="FF1C4587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4" fillId="0" borderId="1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1"/>
    <xf numFmtId="0" fontId="2" fillId="0" borderId="1"/>
    <xf numFmtId="43" fontId="2" fillId="0" borderId="1" applyFont="0" applyFill="0" applyBorder="0" applyAlignment="0" applyProtection="0"/>
    <xf numFmtId="166" fontId="2" fillId="0" borderId="1" applyFont="0" applyFill="0" applyBorder="0" applyAlignment="0" applyProtection="0"/>
    <xf numFmtId="0" fontId="1" fillId="0" borderId="1"/>
  </cellStyleXfs>
  <cellXfs count="149">
    <xf numFmtId="0" fontId="0" fillId="0" borderId="0" xfId="0"/>
    <xf numFmtId="0" fontId="5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7" fillId="2" borderId="2" xfId="3" applyFont="1" applyFill="1" applyBorder="1" applyAlignment="1">
      <alignment horizontal="center" vertical="center"/>
    </xf>
    <xf numFmtId="9" fontId="7" fillId="2" borderId="2" xfId="4" applyFont="1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4" fontId="0" fillId="6" borderId="2" xfId="3" applyFont="1" applyFill="1" applyBorder="1"/>
    <xf numFmtId="164" fontId="0" fillId="6" borderId="2" xfId="2" applyNumberFormat="1" applyFont="1" applyFill="1" applyBorder="1" applyAlignment="1">
      <alignment horizontal="center" vertical="center"/>
    </xf>
    <xf numFmtId="44" fontId="0" fillId="6" borderId="2" xfId="0" applyNumberFormat="1" applyFill="1" applyBorder="1"/>
    <xf numFmtId="0" fontId="14" fillId="11" borderId="2" xfId="0" applyFont="1" applyFill="1" applyBorder="1" applyAlignment="1">
      <alignment horizontal="center"/>
    </xf>
    <xf numFmtId="14" fontId="13" fillId="0" borderId="5" xfId="0" applyNumberFormat="1" applyFont="1" applyBorder="1"/>
    <xf numFmtId="9" fontId="7" fillId="3" borderId="2" xfId="4" applyFont="1" applyFill="1" applyBorder="1" applyAlignment="1" applyProtection="1">
      <alignment horizontal="center" vertical="center"/>
      <protection locked="0"/>
    </xf>
    <xf numFmtId="0" fontId="7" fillId="2" borderId="2" xfId="2" applyNumberFormat="1" applyFont="1" applyFill="1" applyBorder="1" applyAlignment="1">
      <alignment horizontal="center" vertical="center"/>
    </xf>
    <xf numFmtId="44" fontId="7" fillId="2" borderId="2" xfId="0" applyNumberFormat="1" applyFont="1" applyFill="1" applyBorder="1" applyAlignment="1">
      <alignment horizontal="center" vertical="center"/>
    </xf>
    <xf numFmtId="164" fontId="7" fillId="2" borderId="2" xfId="2" applyNumberFormat="1" applyFont="1" applyFill="1" applyBorder="1" applyAlignment="1">
      <alignment horizontal="center" vertical="center"/>
    </xf>
    <xf numFmtId="165" fontId="7" fillId="2" borderId="2" xfId="3" applyNumberFormat="1" applyFont="1" applyFill="1" applyBorder="1" applyAlignment="1">
      <alignment horizontal="center" vertical="center"/>
    </xf>
    <xf numFmtId="44" fontId="7" fillId="7" borderId="2" xfId="3" applyFont="1" applyFill="1" applyBorder="1" applyAlignment="1">
      <alignment horizontal="center" vertical="center"/>
    </xf>
    <xf numFmtId="0" fontId="13" fillId="3" borderId="2" xfId="0" applyFont="1" applyFill="1" applyBorder="1" applyAlignment="1" applyProtection="1">
      <alignment horizontal="center"/>
      <protection locked="0"/>
    </xf>
    <xf numFmtId="14" fontId="13" fillId="3" borderId="2" xfId="0" applyNumberFormat="1" applyFont="1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1" fontId="0" fillId="6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44" fontId="0" fillId="6" borderId="3" xfId="3" applyFont="1" applyFill="1" applyBorder="1"/>
    <xf numFmtId="164" fontId="0" fillId="6" borderId="3" xfId="2" applyNumberFormat="1" applyFont="1" applyFill="1" applyBorder="1" applyAlignment="1">
      <alignment horizontal="center" vertical="center"/>
    </xf>
    <xf numFmtId="44" fontId="0" fillId="6" borderId="3" xfId="0" applyNumberFormat="1" applyFill="1" applyBorder="1"/>
    <xf numFmtId="1" fontId="0" fillId="6" borderId="6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44" fontId="0" fillId="6" borderId="6" xfId="3" applyFont="1" applyFill="1" applyBorder="1"/>
    <xf numFmtId="164" fontId="0" fillId="6" borderId="6" xfId="2" applyNumberFormat="1" applyFont="1" applyFill="1" applyBorder="1" applyAlignment="1">
      <alignment horizontal="center" vertical="center"/>
    </xf>
    <xf numFmtId="44" fontId="0" fillId="6" borderId="6" xfId="0" applyNumberFormat="1" applyFill="1" applyBorder="1"/>
    <xf numFmtId="14" fontId="13" fillId="6" borderId="2" xfId="0" applyNumberFormat="1" applyFont="1" applyFill="1" applyBorder="1" applyAlignment="1" applyProtection="1">
      <alignment horizontal="center"/>
      <protection locked="0"/>
    </xf>
    <xf numFmtId="164" fontId="12" fillId="2" borderId="2" xfId="2" applyNumberFormat="1" applyFont="1" applyFill="1" applyBorder="1" applyAlignment="1">
      <alignment vertical="center"/>
    </xf>
    <xf numFmtId="0" fontId="0" fillId="0" borderId="0" xfId="0" applyProtection="1">
      <protection locked="0"/>
    </xf>
    <xf numFmtId="164" fontId="12" fillId="2" borderId="2" xfId="2" applyNumberFormat="1" applyFont="1" applyFill="1" applyBorder="1" applyAlignment="1" applyProtection="1">
      <alignment vertical="center"/>
      <protection locked="0"/>
    </xf>
    <xf numFmtId="0" fontId="3" fillId="5" borderId="2" xfId="0" applyFont="1" applyFill="1" applyBorder="1" applyAlignment="1" applyProtection="1">
      <alignment horizontal="center" vertical="center" wrapText="1"/>
      <protection locked="0"/>
    </xf>
    <xf numFmtId="0" fontId="8" fillId="6" borderId="2" xfId="0" applyFont="1" applyFill="1" applyBorder="1" applyAlignment="1" applyProtection="1">
      <alignment horizontal="center"/>
      <protection locked="0"/>
    </xf>
    <xf numFmtId="0" fontId="8" fillId="6" borderId="2" xfId="0" applyFont="1" applyFill="1" applyBorder="1" applyAlignment="1" applyProtection="1">
      <alignment horizontal="left"/>
      <protection locked="0"/>
    </xf>
    <xf numFmtId="10" fontId="8" fillId="6" borderId="2" xfId="4" applyNumberFormat="1" applyFont="1" applyFill="1" applyBorder="1" applyAlignment="1" applyProtection="1">
      <alignment horizontal="center"/>
      <protection locked="0"/>
    </xf>
    <xf numFmtId="2" fontId="8" fillId="6" borderId="2" xfId="0" applyNumberFormat="1" applyFont="1" applyFill="1" applyBorder="1" applyAlignment="1" applyProtection="1">
      <alignment horizontal="center"/>
      <protection locked="0"/>
    </xf>
    <xf numFmtId="0" fontId="8" fillId="6" borderId="6" xfId="0" applyFont="1" applyFill="1" applyBorder="1" applyAlignment="1" applyProtection="1">
      <alignment horizontal="center"/>
      <protection locked="0"/>
    </xf>
    <xf numFmtId="0" fontId="8" fillId="6" borderId="6" xfId="0" applyFont="1" applyFill="1" applyBorder="1" applyAlignment="1" applyProtection="1">
      <alignment horizontal="left"/>
      <protection locked="0"/>
    </xf>
    <xf numFmtId="10" fontId="8" fillId="6" borderId="6" xfId="4" applyNumberFormat="1" applyFont="1" applyFill="1" applyBorder="1" applyAlignment="1" applyProtection="1">
      <alignment horizontal="center"/>
      <protection locked="0"/>
    </xf>
    <xf numFmtId="2" fontId="8" fillId="6" borderId="6" xfId="0" applyNumberFormat="1" applyFont="1" applyFill="1" applyBorder="1" applyAlignment="1" applyProtection="1">
      <alignment horizontal="center"/>
      <protection locked="0"/>
    </xf>
    <xf numFmtId="0" fontId="8" fillId="6" borderId="3" xfId="0" applyFont="1" applyFill="1" applyBorder="1" applyAlignment="1" applyProtection="1">
      <alignment horizontal="center"/>
      <protection locked="0"/>
    </xf>
    <xf numFmtId="0" fontId="8" fillId="6" borderId="3" xfId="0" applyFont="1" applyFill="1" applyBorder="1" applyAlignment="1" applyProtection="1">
      <alignment horizontal="left"/>
      <protection locked="0"/>
    </xf>
    <xf numFmtId="10" fontId="8" fillId="6" borderId="3" xfId="4" applyNumberFormat="1" applyFont="1" applyFill="1" applyBorder="1" applyAlignment="1" applyProtection="1">
      <alignment horizontal="center"/>
      <protection locked="0"/>
    </xf>
    <xf numFmtId="2" fontId="8" fillId="6" borderId="3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0" fontId="11" fillId="8" borderId="2" xfId="0" applyFont="1" applyFill="1" applyBorder="1" applyAlignment="1" applyProtection="1">
      <alignment horizontal="center"/>
      <protection locked="0"/>
    </xf>
    <xf numFmtId="0" fontId="9" fillId="6" borderId="2" xfId="0" applyFont="1" applyFill="1" applyBorder="1" applyAlignment="1" applyProtection="1">
      <alignment horizontal="center"/>
      <protection locked="0"/>
    </xf>
    <xf numFmtId="0" fontId="0" fillId="6" borderId="2" xfId="0" applyFill="1" applyBorder="1" applyAlignment="1" applyProtection="1">
      <alignment horizontal="left"/>
      <protection locked="0"/>
    </xf>
    <xf numFmtId="0" fontId="11" fillId="8" borderId="6" xfId="0" applyFont="1" applyFill="1" applyBorder="1" applyAlignment="1" applyProtection="1">
      <alignment horizontal="center"/>
      <protection locked="0"/>
    </xf>
    <xf numFmtId="0" fontId="9" fillId="6" borderId="6" xfId="0" applyFont="1" applyFill="1" applyBorder="1" applyAlignment="1" applyProtection="1">
      <alignment horizontal="center"/>
      <protection locked="0"/>
    </xf>
    <xf numFmtId="0" fontId="0" fillId="6" borderId="6" xfId="0" applyFill="1" applyBorder="1" applyAlignment="1" applyProtection="1">
      <alignment horizontal="left"/>
      <protection locked="0"/>
    </xf>
    <xf numFmtId="0" fontId="9" fillId="6" borderId="3" xfId="0" applyFont="1" applyFill="1" applyBorder="1" applyAlignment="1" applyProtection="1">
      <alignment horizontal="center"/>
      <protection locked="0"/>
    </xf>
    <xf numFmtId="0" fontId="0" fillId="6" borderId="3" xfId="0" applyFill="1" applyBorder="1" applyAlignment="1" applyProtection="1">
      <alignment horizontal="left"/>
      <protection locked="0"/>
    </xf>
    <xf numFmtId="0" fontId="11" fillId="9" borderId="2" xfId="0" applyFont="1" applyFill="1" applyBorder="1" applyAlignment="1" applyProtection="1">
      <alignment horizontal="center"/>
      <protection locked="0"/>
    </xf>
    <xf numFmtId="0" fontId="11" fillId="9" borderId="6" xfId="0" applyFont="1" applyFill="1" applyBorder="1" applyAlignment="1" applyProtection="1">
      <alignment horizontal="center"/>
      <protection locked="0"/>
    </xf>
    <xf numFmtId="0" fontId="11" fillId="10" borderId="3" xfId="0" applyFont="1" applyFill="1" applyBorder="1" applyAlignment="1" applyProtection="1">
      <alignment horizontal="center"/>
      <protection locked="0"/>
    </xf>
    <xf numFmtId="0" fontId="11" fillId="10" borderId="2" xfId="0" applyFont="1" applyFill="1" applyBorder="1" applyAlignment="1" applyProtection="1">
      <alignment horizontal="center"/>
      <protection locked="0"/>
    </xf>
    <xf numFmtId="44" fontId="0" fillId="7" borderId="7" xfId="3" applyFont="1" applyFill="1" applyBorder="1"/>
    <xf numFmtId="44" fontId="0" fillId="7" borderId="9" xfId="3" applyFont="1" applyFill="1" applyBorder="1"/>
    <xf numFmtId="44" fontId="0" fillId="7" borderId="10" xfId="3" applyFont="1" applyFill="1" applyBorder="1"/>
    <xf numFmtId="0" fontId="3" fillId="12" borderId="11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9" fontId="0" fillId="6" borderId="2" xfId="4" applyFont="1" applyFill="1" applyBorder="1"/>
    <xf numFmtId="9" fontId="0" fillId="6" borderId="2" xfId="0" applyNumberFormat="1" applyFill="1" applyBorder="1" applyAlignment="1">
      <alignment horizontal="center"/>
    </xf>
    <xf numFmtId="9" fontId="0" fillId="6" borderId="3" xfId="4" applyFont="1" applyFill="1" applyBorder="1"/>
    <xf numFmtId="9" fontId="0" fillId="6" borderId="3" xfId="0" applyNumberFormat="1" applyFill="1" applyBorder="1" applyAlignment="1">
      <alignment horizontal="center"/>
    </xf>
    <xf numFmtId="9" fontId="0" fillId="6" borderId="6" xfId="4" applyFont="1" applyFill="1" applyBorder="1"/>
    <xf numFmtId="9" fontId="0" fillId="6" borderId="6" xfId="0" applyNumberFormat="1" applyFill="1" applyBorder="1" applyAlignment="1">
      <alignment horizontal="center"/>
    </xf>
    <xf numFmtId="3" fontId="8" fillId="6" borderId="2" xfId="0" applyNumberFormat="1" applyFont="1" applyFill="1" applyBorder="1" applyAlignment="1" applyProtection="1">
      <alignment horizontal="center"/>
      <protection locked="0"/>
    </xf>
    <xf numFmtId="8" fontId="8" fillId="6" borderId="2" xfId="3" applyNumberFormat="1" applyFont="1" applyFill="1" applyBorder="1" applyAlignment="1" applyProtection="1">
      <alignment horizontal="center"/>
      <protection locked="0"/>
    </xf>
    <xf numFmtId="3" fontId="8" fillId="6" borderId="3" xfId="0" applyNumberFormat="1" applyFont="1" applyFill="1" applyBorder="1" applyAlignment="1" applyProtection="1">
      <alignment horizontal="center"/>
      <protection locked="0"/>
    </xf>
    <xf numFmtId="8" fontId="8" fillId="6" borderId="3" xfId="3" applyNumberFormat="1" applyFont="1" applyFill="1" applyBorder="1" applyAlignment="1" applyProtection="1">
      <alignment horizontal="center"/>
      <protection locked="0"/>
    </xf>
    <xf numFmtId="3" fontId="8" fillId="6" borderId="6" xfId="0" applyNumberFormat="1" applyFont="1" applyFill="1" applyBorder="1" applyAlignment="1" applyProtection="1">
      <alignment horizontal="center"/>
      <protection locked="0"/>
    </xf>
    <xf numFmtId="8" fontId="8" fillId="6" borderId="6" xfId="3" applyNumberFormat="1" applyFont="1" applyFill="1" applyBorder="1" applyAlignment="1" applyProtection="1">
      <alignment horizontal="center"/>
      <protection locked="0"/>
    </xf>
    <xf numFmtId="49" fontId="8" fillId="6" borderId="2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44" fontId="0" fillId="0" borderId="0" xfId="0" applyNumberFormat="1"/>
    <xf numFmtId="0" fontId="1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11" fillId="13" borderId="2" xfId="0" applyFont="1" applyFill="1" applyBorder="1" applyAlignment="1" applyProtection="1">
      <alignment horizontal="center"/>
      <protection locked="0"/>
    </xf>
    <xf numFmtId="9" fontId="0" fillId="6" borderId="2" xfId="0" applyNumberFormat="1" applyFill="1" applyBorder="1" applyAlignment="1">
      <alignment horizontal="center" vertical="center"/>
    </xf>
    <xf numFmtId="0" fontId="8" fillId="6" borderId="14" xfId="0" applyFont="1" applyFill="1" applyBorder="1" applyAlignment="1" applyProtection="1">
      <alignment horizontal="center"/>
      <protection locked="0"/>
    </xf>
    <xf numFmtId="10" fontId="8" fillId="6" borderId="14" xfId="4" applyNumberFormat="1" applyFont="1" applyFill="1" applyBorder="1" applyAlignment="1" applyProtection="1">
      <alignment horizontal="center"/>
      <protection locked="0"/>
    </xf>
    <xf numFmtId="0" fontId="0" fillId="0" borderId="1" xfId="0" applyBorder="1"/>
    <xf numFmtId="0" fontId="9" fillId="6" borderId="14" xfId="0" applyFont="1" applyFill="1" applyBorder="1" applyAlignment="1" applyProtection="1">
      <alignment horizontal="center"/>
      <protection locked="0"/>
    </xf>
    <xf numFmtId="0" fontId="8" fillId="6" borderId="14" xfId="0" applyFont="1" applyFill="1" applyBorder="1" applyAlignment="1" applyProtection="1">
      <alignment horizontal="left"/>
      <protection locked="0"/>
    </xf>
    <xf numFmtId="0" fontId="0" fillId="6" borderId="14" xfId="0" applyFill="1" applyBorder="1" applyAlignment="1">
      <alignment horizontal="center"/>
    </xf>
    <xf numFmtId="44" fontId="0" fillId="6" borderId="14" xfId="3" applyFont="1" applyFill="1" applyBorder="1"/>
    <xf numFmtId="0" fontId="0" fillId="3" borderId="14" xfId="0" applyFill="1" applyBorder="1" applyAlignment="1" applyProtection="1">
      <alignment horizontal="center"/>
      <protection locked="0"/>
    </xf>
    <xf numFmtId="164" fontId="0" fillId="6" borderId="14" xfId="2" applyNumberFormat="1" applyFont="1" applyFill="1" applyBorder="1" applyAlignment="1">
      <alignment horizontal="center" vertical="center"/>
    </xf>
    <xf numFmtId="44" fontId="0" fillId="6" borderId="14" xfId="0" applyNumberFormat="1" applyFill="1" applyBorder="1"/>
    <xf numFmtId="44" fontId="0" fillId="7" borderId="14" xfId="3" applyFont="1" applyFill="1" applyBorder="1"/>
    <xf numFmtId="9" fontId="0" fillId="6" borderId="14" xfId="4" applyFont="1" applyFill="1" applyBorder="1"/>
    <xf numFmtId="9" fontId="0" fillId="6" borderId="14" xfId="0" applyNumberFormat="1" applyFill="1" applyBorder="1" applyAlignment="1">
      <alignment horizontal="center"/>
    </xf>
    <xf numFmtId="0" fontId="0" fillId="6" borderId="14" xfId="0" applyFill="1" applyBorder="1" applyAlignment="1" applyProtection="1">
      <alignment horizontal="left"/>
      <protection locked="0"/>
    </xf>
    <xf numFmtId="49" fontId="8" fillId="6" borderId="14" xfId="0" applyNumberFormat="1" applyFont="1" applyFill="1" applyBorder="1" applyAlignment="1" applyProtection="1">
      <alignment horizontal="center"/>
      <protection locked="0"/>
    </xf>
    <xf numFmtId="9" fontId="0" fillId="6" borderId="14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" fillId="6" borderId="2" xfId="0" applyFont="1" applyFill="1" applyBorder="1" applyAlignment="1" applyProtection="1">
      <alignment horizontal="left"/>
      <protection locked="0"/>
    </xf>
    <xf numFmtId="0" fontId="1" fillId="6" borderId="2" xfId="0" applyFont="1" applyFill="1" applyBorder="1" applyAlignment="1">
      <alignment horizontal="center"/>
    </xf>
    <xf numFmtId="9" fontId="1" fillId="6" borderId="2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9" fontId="1" fillId="6" borderId="6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6" borderId="6" xfId="0" applyFont="1" applyFill="1" applyBorder="1" applyAlignment="1" applyProtection="1">
      <alignment horizontal="left"/>
      <protection locked="0"/>
    </xf>
    <xf numFmtId="9" fontId="1" fillId="6" borderId="3" xfId="0" applyNumberFormat="1" applyFont="1" applyFill="1" applyBorder="1" applyAlignment="1">
      <alignment horizontal="center" vertical="center"/>
    </xf>
    <xf numFmtId="0" fontId="11" fillId="8" borderId="14" xfId="0" applyFont="1" applyFill="1" applyBorder="1" applyAlignment="1" applyProtection="1">
      <alignment horizontal="center"/>
      <protection locked="0"/>
    </xf>
    <xf numFmtId="2" fontId="8" fillId="6" borderId="14" xfId="0" applyNumberFormat="1" applyFont="1" applyFill="1" applyBorder="1" applyAlignment="1" applyProtection="1">
      <alignment horizontal="center"/>
      <protection locked="0"/>
    </xf>
    <xf numFmtId="8" fontId="8" fillId="6" borderId="14" xfId="3" applyNumberFormat="1" applyFont="1" applyFill="1" applyBorder="1" applyAlignment="1" applyProtection="1">
      <alignment horizontal="center"/>
      <protection locked="0"/>
    </xf>
    <xf numFmtId="3" fontId="8" fillId="6" borderId="14" xfId="0" applyNumberFormat="1" applyFont="1" applyFill="1" applyBorder="1" applyAlignment="1" applyProtection="1">
      <alignment horizontal="center"/>
      <protection locked="0"/>
    </xf>
    <xf numFmtId="1" fontId="0" fillId="6" borderId="14" xfId="0" applyNumberFormat="1" applyFill="1" applyBorder="1" applyAlignment="1">
      <alignment horizontal="center"/>
    </xf>
    <xf numFmtId="0" fontId="11" fillId="9" borderId="14" xfId="0" applyFont="1" applyFill="1" applyBorder="1" applyAlignment="1" applyProtection="1">
      <alignment horizontal="center"/>
      <protection locked="0"/>
    </xf>
    <xf numFmtId="0" fontId="11" fillId="10" borderId="14" xfId="0" applyFont="1" applyFill="1" applyBorder="1" applyAlignment="1" applyProtection="1">
      <alignment horizontal="center"/>
      <protection locked="0"/>
    </xf>
    <xf numFmtId="0" fontId="11" fillId="13" borderId="14" xfId="0" applyFont="1" applyFill="1" applyBorder="1" applyAlignment="1" applyProtection="1">
      <alignment horizontal="center"/>
      <protection locked="0"/>
    </xf>
    <xf numFmtId="14" fontId="0" fillId="0" borderId="14" xfId="0" applyNumberFormat="1" applyBorder="1" applyAlignment="1">
      <alignment horizontal="center"/>
    </xf>
    <xf numFmtId="0" fontId="0" fillId="0" borderId="14" xfId="0" applyBorder="1"/>
    <xf numFmtId="0" fontId="5" fillId="4" borderId="1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 applyProtection="1">
      <alignment horizontal="left"/>
      <protection locked="0"/>
    </xf>
    <xf numFmtId="44" fontId="7" fillId="2" borderId="12" xfId="0" applyNumberFormat="1" applyFont="1" applyFill="1" applyBorder="1" applyAlignment="1">
      <alignment horizontal="center" vertical="center"/>
    </xf>
    <xf numFmtId="164" fontId="7" fillId="2" borderId="12" xfId="2" applyNumberFormat="1" applyFont="1" applyFill="1" applyBorder="1" applyAlignment="1">
      <alignment horizontal="center" vertical="center"/>
    </xf>
    <xf numFmtId="165" fontId="7" fillId="2" borderId="12" xfId="3" applyNumberFormat="1" applyFont="1" applyFill="1" applyBorder="1" applyAlignment="1">
      <alignment horizontal="center" vertical="center"/>
    </xf>
    <xf numFmtId="9" fontId="7" fillId="3" borderId="12" xfId="4" applyFont="1" applyFill="1" applyBorder="1" applyAlignment="1" applyProtection="1">
      <alignment horizontal="center" vertical="center"/>
      <protection locked="0"/>
    </xf>
    <xf numFmtId="44" fontId="7" fillId="7" borderId="12" xfId="3" applyFont="1" applyFill="1" applyBorder="1" applyAlignment="1">
      <alignment horizontal="center" vertical="center"/>
    </xf>
    <xf numFmtId="44" fontId="7" fillId="2" borderId="12" xfId="3" applyFont="1" applyFill="1" applyBorder="1" applyAlignment="1">
      <alignment horizontal="center" vertical="center"/>
    </xf>
    <xf numFmtId="9" fontId="7" fillId="2" borderId="12" xfId="4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 wrapText="1"/>
    </xf>
    <xf numFmtId="164" fontId="12" fillId="2" borderId="13" xfId="2" applyNumberFormat="1" applyFont="1" applyFill="1" applyBorder="1" applyAlignment="1" applyProtection="1">
      <alignment vertical="center"/>
      <protection locked="0"/>
    </xf>
    <xf numFmtId="164" fontId="12" fillId="2" borderId="5" xfId="2" applyNumberFormat="1" applyFont="1" applyFill="1" applyBorder="1" applyAlignment="1" applyProtection="1">
      <alignment vertical="center"/>
      <protection locked="0"/>
    </xf>
    <xf numFmtId="164" fontId="12" fillId="2" borderId="11" xfId="2" applyNumberFormat="1" applyFont="1" applyFill="1" applyBorder="1" applyAlignment="1" applyProtection="1">
      <alignment vertical="center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3" fillId="5" borderId="14" xfId="0" applyFont="1" applyFill="1" applyBorder="1" applyAlignment="1" applyProtection="1">
      <alignment horizontal="center" vertical="center" wrapText="1"/>
      <protection locked="0"/>
    </xf>
    <xf numFmtId="0" fontId="3" fillId="5" borderId="15" xfId="0" applyFont="1" applyFill="1" applyBorder="1" applyAlignment="1" applyProtection="1">
      <alignment horizontal="center" vertical="center" wrapText="1"/>
      <protection locked="0"/>
    </xf>
    <xf numFmtId="164" fontId="12" fillId="2" borderId="12" xfId="2" applyNumberFormat="1" applyFont="1" applyFill="1" applyBorder="1" applyAlignment="1" applyProtection="1">
      <alignment vertical="center"/>
      <protection locked="0"/>
    </xf>
    <xf numFmtId="164" fontId="12" fillId="2" borderId="12" xfId="2" applyNumberFormat="1" applyFont="1" applyFill="1" applyBorder="1" applyAlignment="1">
      <alignment vertical="center"/>
    </xf>
    <xf numFmtId="0" fontId="7" fillId="2" borderId="12" xfId="2" applyNumberFormat="1" applyFont="1" applyFill="1" applyBorder="1" applyAlignment="1">
      <alignment horizontal="center" vertical="center"/>
    </xf>
    <xf numFmtId="164" fontId="12" fillId="2" borderId="13" xfId="2" applyNumberFormat="1" applyFont="1" applyFill="1" applyBorder="1" applyAlignment="1" applyProtection="1">
      <alignment horizontal="center" vertical="center"/>
      <protection locked="0"/>
    </xf>
    <xf numFmtId="164" fontId="12" fillId="2" borderId="5" xfId="2" applyNumberFormat="1" applyFont="1" applyFill="1" applyBorder="1" applyAlignment="1" applyProtection="1">
      <alignment horizontal="center" vertical="center"/>
      <protection locked="0"/>
    </xf>
    <xf numFmtId="164" fontId="12" fillId="2" borderId="11" xfId="2" applyNumberFormat="1" applyFont="1" applyFill="1" applyBorder="1" applyAlignment="1" applyProtection="1">
      <alignment horizontal="center" vertical="center"/>
      <protection locked="0"/>
    </xf>
    <xf numFmtId="164" fontId="12" fillId="2" borderId="7" xfId="2" applyNumberFormat="1" applyFont="1" applyFill="1" applyBorder="1" applyAlignment="1" applyProtection="1">
      <alignment horizontal="center" vertical="center"/>
      <protection locked="0"/>
    </xf>
    <xf numFmtId="164" fontId="12" fillId="2" borderId="8" xfId="2" applyNumberFormat="1" applyFont="1" applyFill="1" applyBorder="1" applyAlignment="1" applyProtection="1">
      <alignment horizontal="center" vertical="center"/>
      <protection locked="0"/>
    </xf>
    <xf numFmtId="164" fontId="12" fillId="2" borderId="4" xfId="2" applyNumberFormat="1" applyFont="1" applyFill="1" applyBorder="1" applyAlignment="1" applyProtection="1">
      <alignment horizontal="center" vertical="center"/>
      <protection locked="0"/>
    </xf>
  </cellXfs>
  <cellStyles count="10">
    <cellStyle name="Moeda" xfId="3" builtinId="4"/>
    <cellStyle name="Moeda 2" xfId="8" xr:uid="{496A54C0-76DA-4BE8-A15B-62DEDE74A318}"/>
    <cellStyle name="Normal" xfId="0" builtinId="0"/>
    <cellStyle name="Normal 2" xfId="1" xr:uid="{20F85AD9-7970-4370-879F-7AC9FCD47034}"/>
    <cellStyle name="Normal 3" xfId="6" xr:uid="{EB9F9C3A-99F1-45E8-B5C6-56C805A3430E}"/>
    <cellStyle name="Normal 3 3 2 2" xfId="9" xr:uid="{02F853B3-B41C-4DB1-8A78-E00B633CE1E6}"/>
    <cellStyle name="Normal 4" xfId="5" xr:uid="{2481216D-BBF4-433A-903D-7C97AD3D62E5}"/>
    <cellStyle name="Porcentagem" xfId="4" builtinId="5"/>
    <cellStyle name="Vírgula" xfId="2" builtinId="3"/>
    <cellStyle name="Vírgula 2" xfId="7" xr:uid="{6742581F-D9EF-45FB-8E15-CCC4813E5C96}"/>
  </cellStyles>
  <dxfs count="0"/>
  <tableStyles count="0" defaultTableStyle="TableStyleMedium2" defaultPivotStyle="PivotStyleLight16"/>
  <colors>
    <mruColors>
      <color rgb="FF2AFFBE"/>
      <color rgb="FF2A8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161641</xdr:colOff>
      <xdr:row>0</xdr:row>
      <xdr:rowOff>178137</xdr:rowOff>
    </xdr:from>
    <xdr:to>
      <xdr:col>1</xdr:col>
      <xdr:colOff>588822</xdr:colOff>
      <xdr:row>2</xdr:row>
      <xdr:rowOff>170896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7635D1-D2AD-128D-1A20-F179FAE57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641" y="178137"/>
          <a:ext cx="1258454" cy="385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173071</xdr:colOff>
      <xdr:row>0</xdr:row>
      <xdr:rowOff>170517</xdr:rowOff>
    </xdr:from>
    <xdr:to>
      <xdr:col>1</xdr:col>
      <xdr:colOff>536035</xdr:colOff>
      <xdr:row>2</xdr:row>
      <xdr:rowOff>163548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42D102-DA3C-4361-A08B-8458231F7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261" y="174327"/>
          <a:ext cx="1147824" cy="362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0F611E-D590-154E-92B8-DC91BA092D0D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documentId" value="&quot;9155ef8a-d849-4b03-9f0e-b0d66f4483c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0CE7-492D-9040-B568-59F293DD7BFF}">
  <sheetPr>
    <tabColor rgb="FFFFFF00"/>
  </sheetPr>
  <dimension ref="A1:AI65"/>
  <sheetViews>
    <sheetView showGridLines="0" zoomScale="132" zoomScaleNormal="132" workbookViewId="0">
      <selection activeCell="B24" sqref="B24"/>
    </sheetView>
  </sheetViews>
  <sheetFormatPr baseColWidth="10" defaultColWidth="11.5" defaultRowHeight="15" outlineLevelCol="1" x14ac:dyDescent="0.2"/>
  <cols>
    <col min="1" max="1" width="10.83203125" style="34"/>
    <col min="2" max="2" width="10.83203125" style="49"/>
    <col min="3" max="3" width="25.6640625" style="34" bestFit="1" customWidth="1"/>
    <col min="4" max="4" width="10.83203125" style="34" customWidth="1" outlineLevel="1"/>
    <col min="5" max="5" width="65.83203125" style="34" bestFit="1" customWidth="1" outlineLevel="1"/>
    <col min="6" max="6" width="19.1640625" style="34" bestFit="1" customWidth="1" outlineLevel="1"/>
    <col min="7" max="7" width="10.83203125" style="34" customWidth="1" outlineLevel="1"/>
    <col min="8" max="8" width="14.33203125" style="34" customWidth="1" outlineLevel="1"/>
    <col min="9" max="12" width="10.83203125" style="34" customWidth="1" outlineLevel="1"/>
    <col min="13" max="13" width="14.5" style="34" customWidth="1" outlineLevel="1"/>
    <col min="14" max="14" width="16.6640625" style="34" bestFit="1" customWidth="1"/>
    <col min="15" max="15" width="16.5" style="2" bestFit="1" customWidth="1"/>
    <col min="16" max="16" width="13.6640625" style="2" customWidth="1"/>
    <col min="17" max="17" width="15.5" style="2" customWidth="1"/>
    <col min="18" max="18" width="13.5" customWidth="1"/>
    <col min="20" max="20" width="27.1640625" customWidth="1"/>
    <col min="21" max="21" width="15.1640625" bestFit="1" customWidth="1"/>
    <col min="22" max="22" width="15.1640625" customWidth="1"/>
    <col min="23" max="23" width="17.6640625" style="3" customWidth="1"/>
    <col min="24" max="24" width="18.33203125" bestFit="1" customWidth="1"/>
    <col min="25" max="25" width="18.33203125" customWidth="1"/>
    <col min="26" max="26" width="17.83203125" style="3" customWidth="1"/>
    <col min="27" max="27" width="23.83203125" customWidth="1"/>
    <col min="28" max="28" width="22.1640625" customWidth="1" outlineLevel="1"/>
    <col min="29" max="29" width="17" customWidth="1" outlineLevel="1"/>
    <col min="30" max="30" width="10.83203125" customWidth="1" outlineLevel="1"/>
    <col min="31" max="33" width="26" customWidth="1" outlineLevel="1"/>
    <col min="34" max="34" width="9.6640625" style="2" customWidth="1" outlineLevel="1"/>
    <col min="35" max="35" width="24.5" customWidth="1" outlineLevel="1"/>
    <col min="36" max="36" width="4.33203125" customWidth="1"/>
    <col min="37" max="37" width="13.83203125" bestFit="1" customWidth="1"/>
    <col min="39" max="39" width="4.83203125" customWidth="1"/>
    <col min="40" max="40" width="14.1640625" customWidth="1"/>
    <col min="42" max="42" width="17" customWidth="1"/>
    <col min="44" max="44" width="16.33203125" customWidth="1"/>
  </cols>
  <sheetData>
    <row r="1" spans="1:35" x14ac:dyDescent="0.2">
      <c r="O1" s="34"/>
      <c r="AC1" s="83"/>
    </row>
    <row r="2" spans="1:35" x14ac:dyDescent="0.2">
      <c r="O2" s="34"/>
      <c r="Q2" s="11" t="s">
        <v>0</v>
      </c>
      <c r="R2" s="20"/>
      <c r="S2" s="11" t="s">
        <v>1</v>
      </c>
      <c r="T2" s="32">
        <f>R2+15</f>
        <v>15</v>
      </c>
      <c r="U2" s="11" t="s">
        <v>2</v>
      </c>
      <c r="V2" s="19"/>
      <c r="W2" s="11" t="s">
        <v>3</v>
      </c>
      <c r="X2" s="19" t="s">
        <v>4</v>
      </c>
      <c r="Y2" s="19" t="s">
        <v>5</v>
      </c>
      <c r="AA2" s="81"/>
      <c r="AC2" s="84"/>
    </row>
    <row r="3" spans="1:35" x14ac:dyDescent="0.2">
      <c r="S3" s="12"/>
      <c r="T3" s="12"/>
      <c r="U3" s="11" t="s">
        <v>6</v>
      </c>
      <c r="V3" s="20"/>
      <c r="W3" s="11" t="s">
        <v>7</v>
      </c>
      <c r="X3" s="19" t="s">
        <v>4</v>
      </c>
      <c r="Y3" s="19" t="s">
        <v>5</v>
      </c>
      <c r="AA3" s="82"/>
    </row>
    <row r="5" spans="1:35" ht="24" customHeight="1" x14ac:dyDescent="0.2">
      <c r="A5" s="146" t="s">
        <v>8</v>
      </c>
      <c r="B5" s="147"/>
      <c r="C5" s="148"/>
      <c r="D5" s="146"/>
      <c r="E5" s="147"/>
      <c r="F5" s="147"/>
      <c r="G5" s="147"/>
      <c r="H5" s="147"/>
      <c r="I5" s="147"/>
      <c r="J5" s="147"/>
      <c r="K5" s="147"/>
      <c r="L5" s="147"/>
      <c r="M5" s="148"/>
      <c r="N5" s="35">
        <f>SUM(N7:N52)</f>
        <v>2299409</v>
      </c>
      <c r="O5" s="33">
        <f>SUM(O7:O52)</f>
        <v>76193.899999999994</v>
      </c>
      <c r="P5" s="14"/>
      <c r="Q5" s="14">
        <f>SUM(Q7:Q52)</f>
        <v>415</v>
      </c>
      <c r="R5" s="15"/>
      <c r="S5" s="15"/>
      <c r="T5" s="15"/>
      <c r="U5" s="16">
        <f>AVERAGE(U7:U52)</f>
        <v>280</v>
      </c>
      <c r="V5" s="16">
        <f>SUM(V7:V52)</f>
        <v>3486000</v>
      </c>
      <c r="W5" s="16">
        <f>SUM(W7:W52)</f>
        <v>16943212</v>
      </c>
      <c r="X5" s="17">
        <f>SUM(X7:X52)</f>
        <v>428490</v>
      </c>
      <c r="Y5" s="17"/>
      <c r="Z5" s="13">
        <v>0</v>
      </c>
      <c r="AA5" s="18">
        <f>SUM(AA7:AA52)</f>
        <v>428490</v>
      </c>
      <c r="AB5" s="4">
        <f>SUM(AB7:AB52)</f>
        <v>25500.000000000015</v>
      </c>
      <c r="AC5" s="5">
        <f>IFERROR(AVERAGEIF(AC7:AC52,"&lt;&gt;0",AC7:AC52),0)</f>
        <v>0.92998669747251939</v>
      </c>
      <c r="AD5" s="5">
        <f>IFERROR(AVERAGEIF(AD7:AD52,"&lt;&gt;0",AD7:AD52),0)</f>
        <v>0.62998669747251967</v>
      </c>
      <c r="AE5" s="4">
        <f>SUM(AE7:AE52)</f>
        <v>338716.50000000012</v>
      </c>
      <c r="AF5" s="4">
        <f>SUM(AF7:AF52)</f>
        <v>229451.55000000002</v>
      </c>
      <c r="AG5" s="4">
        <f>SUM(AG7:AG52)</f>
        <v>54632.47500000002</v>
      </c>
      <c r="AH5" s="13">
        <v>0.15</v>
      </c>
      <c r="AI5" s="4">
        <f>SUM(AI7:AI52)</f>
        <v>54632.47500000002</v>
      </c>
    </row>
    <row r="6" spans="1:35" ht="45" x14ac:dyDescent="0.2">
      <c r="A6" s="50" t="s">
        <v>9</v>
      </c>
      <c r="B6" s="50" t="s">
        <v>10</v>
      </c>
      <c r="C6" s="50" t="s">
        <v>11</v>
      </c>
      <c r="D6" s="36" t="s">
        <v>12</v>
      </c>
      <c r="E6" s="36" t="s">
        <v>13</v>
      </c>
      <c r="F6" s="36" t="s">
        <v>14</v>
      </c>
      <c r="G6" s="36" t="s">
        <v>15</v>
      </c>
      <c r="H6" s="36" t="s">
        <v>16</v>
      </c>
      <c r="I6" s="36" t="s">
        <v>17</v>
      </c>
      <c r="J6" s="36" t="s">
        <v>18</v>
      </c>
      <c r="K6" s="36" t="s">
        <v>19</v>
      </c>
      <c r="L6" s="36" t="s">
        <v>20</v>
      </c>
      <c r="M6" s="36" t="s">
        <v>21</v>
      </c>
      <c r="N6" s="50" t="s">
        <v>22</v>
      </c>
      <c r="O6" s="1" t="s">
        <v>23</v>
      </c>
      <c r="P6" s="1" t="s">
        <v>24</v>
      </c>
      <c r="Q6" s="1" t="s">
        <v>25</v>
      </c>
      <c r="R6" s="1" t="s">
        <v>26</v>
      </c>
      <c r="S6" s="1" t="s">
        <v>27</v>
      </c>
      <c r="T6" s="1" t="s">
        <v>28</v>
      </c>
      <c r="U6" s="1" t="s">
        <v>29</v>
      </c>
      <c r="V6" s="1" t="s">
        <v>30</v>
      </c>
      <c r="W6" s="1" t="s">
        <v>31</v>
      </c>
      <c r="X6" s="1" t="s">
        <v>32</v>
      </c>
      <c r="Y6" s="1" t="s">
        <v>33</v>
      </c>
      <c r="Z6" s="1" t="s">
        <v>34</v>
      </c>
      <c r="AA6" s="1" t="s">
        <v>35</v>
      </c>
      <c r="AB6" s="66" t="s">
        <v>36</v>
      </c>
      <c r="AC6" s="67" t="s">
        <v>37</v>
      </c>
      <c r="AD6" s="67" t="s">
        <v>38</v>
      </c>
      <c r="AE6" s="67" t="s">
        <v>39</v>
      </c>
      <c r="AF6" s="67" t="s">
        <v>40</v>
      </c>
      <c r="AG6" s="67" t="s">
        <v>41</v>
      </c>
      <c r="AH6" s="67" t="s">
        <v>42</v>
      </c>
      <c r="AI6" s="67" t="s">
        <v>43</v>
      </c>
    </row>
    <row r="7" spans="1:35" x14ac:dyDescent="0.2">
      <c r="A7" s="51" t="s">
        <v>44</v>
      </c>
      <c r="B7" s="52" t="s">
        <v>45</v>
      </c>
      <c r="C7" s="106" t="s">
        <v>46</v>
      </c>
      <c r="D7" s="37" t="s">
        <v>47</v>
      </c>
      <c r="E7" s="38" t="s">
        <v>48</v>
      </c>
      <c r="F7" s="38" t="s">
        <v>49</v>
      </c>
      <c r="G7" s="37" t="s">
        <v>50</v>
      </c>
      <c r="H7" s="37" t="s">
        <v>51</v>
      </c>
      <c r="I7" s="37" t="s">
        <v>52</v>
      </c>
      <c r="J7" s="39">
        <v>0.56097687173384303</v>
      </c>
      <c r="K7" s="39">
        <v>0.414239147306876</v>
      </c>
      <c r="L7" s="40">
        <v>3.63</v>
      </c>
      <c r="M7" s="75">
        <v>91.84</v>
      </c>
      <c r="N7" s="74">
        <v>38487</v>
      </c>
      <c r="O7" s="6">
        <f>N7/30</f>
        <v>1282.9000000000001</v>
      </c>
      <c r="P7" s="7">
        <v>15</v>
      </c>
      <c r="Q7" s="7">
        <f>IF(AND(S7&gt;0,T7&gt;0),P7,0)</f>
        <v>15</v>
      </c>
      <c r="R7" s="8">
        <v>529</v>
      </c>
      <c r="S7" s="21">
        <v>1</v>
      </c>
      <c r="T7" s="21">
        <v>30</v>
      </c>
      <c r="U7" s="107">
        <v>280</v>
      </c>
      <c r="V7" s="107">
        <f>U7*T7*Q7</f>
        <v>126000</v>
      </c>
      <c r="W7" s="9">
        <f>IF(AND(S7&gt;0,T7&gt;0),T7*P7*O7,0)</f>
        <v>577305</v>
      </c>
      <c r="X7" s="10">
        <f>R7*S7*T7</f>
        <v>15870</v>
      </c>
      <c r="Y7" s="10">
        <f>IFERROR((AA7/(W7/1000))," ")</f>
        <v>27.48980175124068</v>
      </c>
      <c r="Z7" s="108">
        <f>$Z$5</f>
        <v>0</v>
      </c>
      <c r="AA7" s="63">
        <f>X7*(1-Z7)</f>
        <v>15870</v>
      </c>
      <c r="AB7" s="8">
        <f>((17000/30/18)*T7)*S7</f>
        <v>944.44444444444446</v>
      </c>
      <c r="AC7" s="68">
        <f>IFERROR(((AA7*0.85)-AB7)/(AA7*0.85),0)</f>
        <v>0.92998669747251972</v>
      </c>
      <c r="AD7" s="68">
        <f>IFERROR(((AA7*0.85)-(AB7+AG7+AI7))/(AA7*0.85),0)</f>
        <v>0.62998669747251979</v>
      </c>
      <c r="AE7" s="8">
        <f>(AA7*0.85)-AB7</f>
        <v>12545.055555555555</v>
      </c>
      <c r="AF7" s="10">
        <f>(AA7*0.85)-AB7-AG7-AI7</f>
        <v>8498.2055555555562</v>
      </c>
      <c r="AG7" s="10">
        <f>((AA7*0.85)*(0.3-AH7))</f>
        <v>2023.425</v>
      </c>
      <c r="AH7" s="69">
        <f>$AH$5</f>
        <v>0.15</v>
      </c>
      <c r="AI7" s="10">
        <f>AH7*(AA7*0.85)</f>
        <v>2023.425</v>
      </c>
    </row>
    <row r="8" spans="1:35" x14ac:dyDescent="0.2">
      <c r="A8" s="51" t="s">
        <v>44</v>
      </c>
      <c r="B8" s="52" t="s">
        <v>53</v>
      </c>
      <c r="C8" s="53" t="s">
        <v>54</v>
      </c>
      <c r="D8" s="37" t="s">
        <v>55</v>
      </c>
      <c r="E8" s="38" t="s">
        <v>56</v>
      </c>
      <c r="F8" s="38" t="s">
        <v>49</v>
      </c>
      <c r="G8" s="37" t="s">
        <v>50</v>
      </c>
      <c r="H8" s="37" t="s">
        <v>57</v>
      </c>
      <c r="I8" s="37" t="s">
        <v>52</v>
      </c>
      <c r="J8" s="39">
        <v>0.63785061390114794</v>
      </c>
      <c r="K8" s="39">
        <v>0.33449768871969698</v>
      </c>
      <c r="L8" s="40">
        <v>2.71</v>
      </c>
      <c r="M8" s="75">
        <v>99.25</v>
      </c>
      <c r="N8" s="74">
        <v>80136</v>
      </c>
      <c r="O8" s="6">
        <f t="shared" ref="O8:O52" si="0">N8/30</f>
        <v>2671.2</v>
      </c>
      <c r="P8" s="7">
        <v>15</v>
      </c>
      <c r="Q8" s="7">
        <f t="shared" ref="Q8:Q52" si="1">IF(AND(S8&gt;0,T8&gt;0),P8,0)</f>
        <v>15</v>
      </c>
      <c r="R8" s="8">
        <v>529</v>
      </c>
      <c r="S8" s="21">
        <v>1</v>
      </c>
      <c r="T8" s="21">
        <v>30</v>
      </c>
      <c r="U8" s="107">
        <v>280</v>
      </c>
      <c r="V8" s="107">
        <f t="shared" ref="V8:V64" si="2">U8*T8*Q8</f>
        <v>126000</v>
      </c>
      <c r="W8" s="9">
        <f t="shared" ref="W8:W51" si="3">IF(AND(S8&gt;0,T8&gt;0),T8*P8*O8,0)</f>
        <v>1202040</v>
      </c>
      <c r="X8" s="10">
        <f t="shared" ref="X8:X52" si="4">R8*S8*T8</f>
        <v>15870</v>
      </c>
      <c r="Y8" s="10">
        <f t="shared" ref="Y8:Y38" si="5">IFERROR((AA8/(W8/1000))," ")</f>
        <v>13.202555655385844</v>
      </c>
      <c r="Z8" s="108">
        <f t="shared" ref="Z8:Z52" si="6">$Z$5</f>
        <v>0</v>
      </c>
      <c r="AA8" s="63">
        <f t="shared" ref="AA8:AA52" si="7">X8*(1-Z8)</f>
        <v>15870</v>
      </c>
      <c r="AB8" s="8">
        <f t="shared" ref="AB8:AB52" si="8">((17000/30/18)*T8)*S8</f>
        <v>944.44444444444446</v>
      </c>
      <c r="AC8" s="68">
        <f t="shared" ref="AC8:AC52" si="9">IFERROR(((AA8*0.85)-AB8)/(AA8*0.85),0)</f>
        <v>0.92998669747251972</v>
      </c>
      <c r="AD8" s="68">
        <f t="shared" ref="AD8:AD52" si="10">IFERROR(((AA8*0.85)-(AB8+AG8+AI8))/(AA8*0.85),0)</f>
        <v>0.62998669747251979</v>
      </c>
      <c r="AE8" s="8">
        <f t="shared" ref="AE8:AE52" si="11">(AA8*0.85)-AB8</f>
        <v>12545.055555555555</v>
      </c>
      <c r="AF8" s="10">
        <f t="shared" ref="AF8:AF52" si="12">(AA8*0.85)-AB8-AG8-AI8</f>
        <v>8498.2055555555562</v>
      </c>
      <c r="AG8" s="10">
        <f t="shared" ref="AG8:AG52" si="13">((AA8*0.85)*(0.3-AH8))</f>
        <v>2023.425</v>
      </c>
      <c r="AH8" s="69">
        <f t="shared" ref="AH8:AH52" si="14">$AH$5</f>
        <v>0.15</v>
      </c>
      <c r="AI8" s="10">
        <f t="shared" ref="AI8:AI52" si="15">AH8*(AA8*0.85)</f>
        <v>2023.425</v>
      </c>
    </row>
    <row r="9" spans="1:35" x14ac:dyDescent="0.2">
      <c r="A9" s="51" t="s">
        <v>44</v>
      </c>
      <c r="B9" s="52" t="s">
        <v>58</v>
      </c>
      <c r="C9" s="53" t="s">
        <v>59</v>
      </c>
      <c r="D9" s="37" t="s">
        <v>55</v>
      </c>
      <c r="E9" s="38" t="s">
        <v>60</v>
      </c>
      <c r="F9" s="38" t="s">
        <v>49</v>
      </c>
      <c r="G9" s="37" t="s">
        <v>50</v>
      </c>
      <c r="H9" s="37" t="s">
        <v>61</v>
      </c>
      <c r="I9" s="37" t="s">
        <v>52</v>
      </c>
      <c r="J9" s="39">
        <v>0.62418138295469905</v>
      </c>
      <c r="K9" s="39">
        <v>0.348155006548936</v>
      </c>
      <c r="L9" s="40">
        <v>2.41</v>
      </c>
      <c r="M9" s="75">
        <v>96.38</v>
      </c>
      <c r="N9" s="74">
        <v>45209</v>
      </c>
      <c r="O9" s="6">
        <f t="shared" si="0"/>
        <v>1506.9666666666667</v>
      </c>
      <c r="P9" s="7">
        <v>16</v>
      </c>
      <c r="Q9" s="7">
        <f t="shared" si="1"/>
        <v>16</v>
      </c>
      <c r="R9" s="8">
        <v>529</v>
      </c>
      <c r="S9" s="21">
        <v>1</v>
      </c>
      <c r="T9" s="21">
        <v>30</v>
      </c>
      <c r="U9" s="107">
        <v>280</v>
      </c>
      <c r="V9" s="107">
        <f t="shared" si="2"/>
        <v>134400</v>
      </c>
      <c r="W9" s="9">
        <f t="shared" si="3"/>
        <v>723344</v>
      </c>
      <c r="X9" s="10">
        <f t="shared" si="4"/>
        <v>15870</v>
      </c>
      <c r="Y9" s="10">
        <f t="shared" si="5"/>
        <v>21.939768630140016</v>
      </c>
      <c r="Z9" s="108">
        <f t="shared" si="6"/>
        <v>0</v>
      </c>
      <c r="AA9" s="63">
        <f t="shared" si="7"/>
        <v>15870</v>
      </c>
      <c r="AB9" s="8">
        <f t="shared" si="8"/>
        <v>944.44444444444446</v>
      </c>
      <c r="AC9" s="68">
        <f t="shared" si="9"/>
        <v>0.92998669747251972</v>
      </c>
      <c r="AD9" s="68">
        <f t="shared" si="10"/>
        <v>0.62998669747251979</v>
      </c>
      <c r="AE9" s="8">
        <f t="shared" si="11"/>
        <v>12545.055555555555</v>
      </c>
      <c r="AF9" s="10">
        <f t="shared" si="12"/>
        <v>8498.2055555555562</v>
      </c>
      <c r="AG9" s="10">
        <f t="shared" si="13"/>
        <v>2023.425</v>
      </c>
      <c r="AH9" s="69">
        <f t="shared" si="14"/>
        <v>0.15</v>
      </c>
      <c r="AI9" s="10">
        <f t="shared" si="15"/>
        <v>2023.425</v>
      </c>
    </row>
    <row r="10" spans="1:35" x14ac:dyDescent="0.2">
      <c r="A10" s="51" t="s">
        <v>44</v>
      </c>
      <c r="B10" s="52" t="s">
        <v>62</v>
      </c>
      <c r="C10" s="53" t="s">
        <v>63</v>
      </c>
      <c r="D10" s="37" t="s">
        <v>55</v>
      </c>
      <c r="E10" s="38" t="s">
        <v>64</v>
      </c>
      <c r="F10" s="38" t="s">
        <v>49</v>
      </c>
      <c r="G10" s="37" t="s">
        <v>50</v>
      </c>
      <c r="H10" s="37" t="s">
        <v>65</v>
      </c>
      <c r="I10" s="37" t="s">
        <v>52</v>
      </c>
      <c r="J10" s="39">
        <v>0.560721329952099</v>
      </c>
      <c r="K10" s="39">
        <v>0.41416987570833702</v>
      </c>
      <c r="L10" s="40">
        <v>3.17</v>
      </c>
      <c r="M10" s="75">
        <v>114.63</v>
      </c>
      <c r="N10" s="74">
        <v>43386</v>
      </c>
      <c r="O10" s="6">
        <f t="shared" si="0"/>
        <v>1446.2</v>
      </c>
      <c r="P10" s="7">
        <v>16</v>
      </c>
      <c r="Q10" s="7">
        <f t="shared" si="1"/>
        <v>16</v>
      </c>
      <c r="R10" s="8">
        <v>529</v>
      </c>
      <c r="S10" s="21">
        <v>1</v>
      </c>
      <c r="T10" s="21">
        <v>30</v>
      </c>
      <c r="U10" s="107">
        <v>280</v>
      </c>
      <c r="V10" s="107">
        <f t="shared" si="2"/>
        <v>134400</v>
      </c>
      <c r="W10" s="9">
        <f t="shared" si="3"/>
        <v>694176</v>
      </c>
      <c r="X10" s="10">
        <f t="shared" si="4"/>
        <v>15870</v>
      </c>
      <c r="Y10" s="10">
        <f t="shared" si="5"/>
        <v>22.861637394551238</v>
      </c>
      <c r="Z10" s="108">
        <f t="shared" si="6"/>
        <v>0</v>
      </c>
      <c r="AA10" s="63">
        <f t="shared" si="7"/>
        <v>15870</v>
      </c>
      <c r="AB10" s="8">
        <f t="shared" si="8"/>
        <v>944.44444444444446</v>
      </c>
      <c r="AC10" s="68">
        <f t="shared" si="9"/>
        <v>0.92998669747251972</v>
      </c>
      <c r="AD10" s="68">
        <f t="shared" si="10"/>
        <v>0.62998669747251979</v>
      </c>
      <c r="AE10" s="8">
        <f t="shared" si="11"/>
        <v>12545.055555555555</v>
      </c>
      <c r="AF10" s="10">
        <f t="shared" si="12"/>
        <v>8498.2055555555562</v>
      </c>
      <c r="AG10" s="10">
        <f t="shared" si="13"/>
        <v>2023.425</v>
      </c>
      <c r="AH10" s="69">
        <f t="shared" si="14"/>
        <v>0.15</v>
      </c>
      <c r="AI10" s="10">
        <f t="shared" si="15"/>
        <v>2023.425</v>
      </c>
    </row>
    <row r="11" spans="1:35" x14ac:dyDescent="0.2">
      <c r="A11" s="51" t="s">
        <v>44</v>
      </c>
      <c r="B11" s="52" t="s">
        <v>66</v>
      </c>
      <c r="C11" s="53" t="s">
        <v>67</v>
      </c>
      <c r="D11" s="37" t="s">
        <v>47</v>
      </c>
      <c r="E11" s="38" t="s">
        <v>68</v>
      </c>
      <c r="F11" s="38" t="s">
        <v>49</v>
      </c>
      <c r="G11" s="37" t="s">
        <v>50</v>
      </c>
      <c r="H11" s="37" t="s">
        <v>69</v>
      </c>
      <c r="I11" s="37" t="s">
        <v>52</v>
      </c>
      <c r="J11" s="39">
        <v>0.51199559794570804</v>
      </c>
      <c r="K11" s="39">
        <v>0.46063829787234001</v>
      </c>
      <c r="L11" s="40">
        <v>2.59</v>
      </c>
      <c r="M11" s="75">
        <v>163.63</v>
      </c>
      <c r="N11" s="74">
        <v>63893</v>
      </c>
      <c r="O11" s="6">
        <f t="shared" si="0"/>
        <v>2129.7666666666669</v>
      </c>
      <c r="P11" s="7">
        <v>16</v>
      </c>
      <c r="Q11" s="7">
        <f t="shared" si="1"/>
        <v>16</v>
      </c>
      <c r="R11" s="8">
        <v>529</v>
      </c>
      <c r="S11" s="21">
        <v>1</v>
      </c>
      <c r="T11" s="21">
        <v>30</v>
      </c>
      <c r="U11" s="107">
        <v>280</v>
      </c>
      <c r="V11" s="107">
        <f t="shared" si="2"/>
        <v>134400</v>
      </c>
      <c r="W11" s="9">
        <f t="shared" si="3"/>
        <v>1022288.0000000001</v>
      </c>
      <c r="X11" s="10">
        <f t="shared" si="4"/>
        <v>15870</v>
      </c>
      <c r="Y11" s="10">
        <f t="shared" si="5"/>
        <v>15.524001064279339</v>
      </c>
      <c r="Z11" s="108">
        <f t="shared" si="6"/>
        <v>0</v>
      </c>
      <c r="AA11" s="63">
        <f t="shared" si="7"/>
        <v>15870</v>
      </c>
      <c r="AB11" s="8">
        <f t="shared" si="8"/>
        <v>944.44444444444446</v>
      </c>
      <c r="AC11" s="68">
        <f t="shared" si="9"/>
        <v>0.92998669747251972</v>
      </c>
      <c r="AD11" s="68">
        <f t="shared" si="10"/>
        <v>0.62998669747251979</v>
      </c>
      <c r="AE11" s="8">
        <f t="shared" si="11"/>
        <v>12545.055555555555</v>
      </c>
      <c r="AF11" s="10">
        <f t="shared" si="12"/>
        <v>8498.2055555555562</v>
      </c>
      <c r="AG11" s="10">
        <f t="shared" si="13"/>
        <v>2023.425</v>
      </c>
      <c r="AH11" s="69">
        <f t="shared" si="14"/>
        <v>0.15</v>
      </c>
      <c r="AI11" s="10">
        <f t="shared" si="15"/>
        <v>2023.425</v>
      </c>
    </row>
    <row r="12" spans="1:35" x14ac:dyDescent="0.2">
      <c r="A12" s="51" t="s">
        <v>44</v>
      </c>
      <c r="B12" s="52" t="s">
        <v>70</v>
      </c>
      <c r="C12" s="53" t="s">
        <v>71</v>
      </c>
      <c r="D12" s="37" t="s">
        <v>47</v>
      </c>
      <c r="E12" s="38" t="s">
        <v>72</v>
      </c>
      <c r="F12" s="38" t="s">
        <v>49</v>
      </c>
      <c r="G12" s="37" t="s">
        <v>50</v>
      </c>
      <c r="H12" s="37" t="s">
        <v>73</v>
      </c>
      <c r="I12" s="37" t="s">
        <v>52</v>
      </c>
      <c r="J12" s="39">
        <v>0.46912794398472302</v>
      </c>
      <c r="K12" s="39">
        <v>0.50611410767529896</v>
      </c>
      <c r="L12" s="40">
        <v>2.67</v>
      </c>
      <c r="M12" s="75">
        <v>213.62</v>
      </c>
      <c r="N12" s="74">
        <v>53791</v>
      </c>
      <c r="O12" s="6">
        <f t="shared" si="0"/>
        <v>1793.0333333333333</v>
      </c>
      <c r="P12" s="7">
        <v>16</v>
      </c>
      <c r="Q12" s="7">
        <f t="shared" si="1"/>
        <v>16</v>
      </c>
      <c r="R12" s="8">
        <v>529</v>
      </c>
      <c r="S12" s="21">
        <v>1</v>
      </c>
      <c r="T12" s="21">
        <v>30</v>
      </c>
      <c r="U12" s="107">
        <v>280</v>
      </c>
      <c r="V12" s="107">
        <f t="shared" si="2"/>
        <v>134400</v>
      </c>
      <c r="W12" s="9">
        <f t="shared" si="3"/>
        <v>860656</v>
      </c>
      <c r="X12" s="10">
        <f t="shared" si="4"/>
        <v>15870</v>
      </c>
      <c r="Y12" s="10">
        <f t="shared" si="5"/>
        <v>18.43942295179491</v>
      </c>
      <c r="Z12" s="108">
        <f t="shared" si="6"/>
        <v>0</v>
      </c>
      <c r="AA12" s="63">
        <f t="shared" si="7"/>
        <v>15870</v>
      </c>
      <c r="AB12" s="8">
        <f t="shared" si="8"/>
        <v>944.44444444444446</v>
      </c>
      <c r="AC12" s="68">
        <f t="shared" si="9"/>
        <v>0.92998669747251972</v>
      </c>
      <c r="AD12" s="68">
        <f t="shared" si="10"/>
        <v>0.62998669747251979</v>
      </c>
      <c r="AE12" s="8">
        <f t="shared" si="11"/>
        <v>12545.055555555555</v>
      </c>
      <c r="AF12" s="10">
        <f t="shared" si="12"/>
        <v>8498.2055555555562</v>
      </c>
      <c r="AG12" s="10">
        <f t="shared" si="13"/>
        <v>2023.425</v>
      </c>
      <c r="AH12" s="69">
        <f t="shared" si="14"/>
        <v>0.15</v>
      </c>
      <c r="AI12" s="10">
        <f t="shared" si="15"/>
        <v>2023.425</v>
      </c>
    </row>
    <row r="13" spans="1:35" x14ac:dyDescent="0.2">
      <c r="A13" s="51" t="s">
        <v>44</v>
      </c>
      <c r="B13" s="52" t="s">
        <v>74</v>
      </c>
      <c r="C13" s="53" t="s">
        <v>75</v>
      </c>
      <c r="D13" s="37" t="s">
        <v>47</v>
      </c>
      <c r="E13" s="38" t="s">
        <v>76</v>
      </c>
      <c r="F13" s="38" t="s">
        <v>49</v>
      </c>
      <c r="G13" s="37" t="s">
        <v>50</v>
      </c>
      <c r="H13" s="37" t="s">
        <v>77</v>
      </c>
      <c r="I13" s="37" t="s">
        <v>52</v>
      </c>
      <c r="J13" s="39">
        <v>0.499056258275347</v>
      </c>
      <c r="K13" s="39">
        <v>0.477392455700481</v>
      </c>
      <c r="L13" s="40">
        <v>2.64</v>
      </c>
      <c r="M13" s="75">
        <v>150.53</v>
      </c>
      <c r="N13" s="74">
        <v>36768</v>
      </c>
      <c r="O13" s="6">
        <f t="shared" si="0"/>
        <v>1225.5999999999999</v>
      </c>
      <c r="P13" s="7">
        <v>16</v>
      </c>
      <c r="Q13" s="7">
        <f t="shared" si="1"/>
        <v>16</v>
      </c>
      <c r="R13" s="8">
        <v>529</v>
      </c>
      <c r="S13" s="21">
        <v>1</v>
      </c>
      <c r="T13" s="21">
        <v>30</v>
      </c>
      <c r="U13" s="107">
        <v>280</v>
      </c>
      <c r="V13" s="107">
        <f t="shared" si="2"/>
        <v>134400</v>
      </c>
      <c r="W13" s="9">
        <f t="shared" si="3"/>
        <v>588288</v>
      </c>
      <c r="X13" s="10">
        <f t="shared" si="4"/>
        <v>15870</v>
      </c>
      <c r="Y13" s="10">
        <f t="shared" si="5"/>
        <v>26.976582898172325</v>
      </c>
      <c r="Z13" s="108">
        <f t="shared" si="6"/>
        <v>0</v>
      </c>
      <c r="AA13" s="63">
        <f t="shared" si="7"/>
        <v>15870</v>
      </c>
      <c r="AB13" s="8">
        <f t="shared" si="8"/>
        <v>944.44444444444446</v>
      </c>
      <c r="AC13" s="68">
        <f t="shared" si="9"/>
        <v>0.92998669747251972</v>
      </c>
      <c r="AD13" s="68">
        <f t="shared" si="10"/>
        <v>0.62998669747251979</v>
      </c>
      <c r="AE13" s="8">
        <f t="shared" si="11"/>
        <v>12545.055555555555</v>
      </c>
      <c r="AF13" s="10">
        <f t="shared" si="12"/>
        <v>8498.2055555555562</v>
      </c>
      <c r="AG13" s="10">
        <f t="shared" si="13"/>
        <v>2023.425</v>
      </c>
      <c r="AH13" s="69">
        <f t="shared" si="14"/>
        <v>0.15</v>
      </c>
      <c r="AI13" s="10">
        <f t="shared" si="15"/>
        <v>2023.425</v>
      </c>
    </row>
    <row r="14" spans="1:35" x14ac:dyDescent="0.2">
      <c r="A14" s="51" t="s">
        <v>44</v>
      </c>
      <c r="B14" s="52" t="s">
        <v>78</v>
      </c>
      <c r="C14" s="53" t="s">
        <v>79</v>
      </c>
      <c r="D14" s="37" t="s">
        <v>47</v>
      </c>
      <c r="E14" s="38" t="s">
        <v>80</v>
      </c>
      <c r="F14" s="38" t="s">
        <v>49</v>
      </c>
      <c r="G14" s="37" t="s">
        <v>50</v>
      </c>
      <c r="H14" s="37" t="s">
        <v>81</v>
      </c>
      <c r="I14" s="37" t="s">
        <v>52</v>
      </c>
      <c r="J14" s="39">
        <v>0.59137826350941103</v>
      </c>
      <c r="K14" s="39">
        <v>0.38240651451837498</v>
      </c>
      <c r="L14" s="40">
        <v>2.93</v>
      </c>
      <c r="M14" s="75">
        <v>94.65</v>
      </c>
      <c r="N14" s="74">
        <v>100733</v>
      </c>
      <c r="O14" s="6">
        <f t="shared" si="0"/>
        <v>3357.7666666666669</v>
      </c>
      <c r="P14" s="7">
        <v>10</v>
      </c>
      <c r="Q14" s="7">
        <f t="shared" si="1"/>
        <v>10</v>
      </c>
      <c r="R14" s="8">
        <v>529</v>
      </c>
      <c r="S14" s="21">
        <v>1</v>
      </c>
      <c r="T14" s="21">
        <v>30</v>
      </c>
      <c r="U14" s="107">
        <v>280</v>
      </c>
      <c r="V14" s="107">
        <f t="shared" si="2"/>
        <v>84000</v>
      </c>
      <c r="W14" s="9">
        <f t="shared" si="3"/>
        <v>1007330.0000000001</v>
      </c>
      <c r="X14" s="10">
        <f t="shared" si="4"/>
        <v>15870</v>
      </c>
      <c r="Y14" s="10">
        <f t="shared" si="5"/>
        <v>15.754519372995937</v>
      </c>
      <c r="Z14" s="108">
        <f t="shared" si="6"/>
        <v>0</v>
      </c>
      <c r="AA14" s="63">
        <f t="shared" si="7"/>
        <v>15870</v>
      </c>
      <c r="AB14" s="8">
        <f t="shared" si="8"/>
        <v>944.44444444444446</v>
      </c>
      <c r="AC14" s="68">
        <f t="shared" si="9"/>
        <v>0.92998669747251972</v>
      </c>
      <c r="AD14" s="68">
        <f t="shared" si="10"/>
        <v>0.62998669747251979</v>
      </c>
      <c r="AE14" s="8">
        <f t="shared" si="11"/>
        <v>12545.055555555555</v>
      </c>
      <c r="AF14" s="10">
        <f t="shared" si="12"/>
        <v>8498.2055555555562</v>
      </c>
      <c r="AG14" s="10">
        <f t="shared" si="13"/>
        <v>2023.425</v>
      </c>
      <c r="AH14" s="69">
        <f t="shared" si="14"/>
        <v>0.15</v>
      </c>
      <c r="AI14" s="10">
        <f t="shared" si="15"/>
        <v>2023.425</v>
      </c>
    </row>
    <row r="15" spans="1:35" x14ac:dyDescent="0.2">
      <c r="A15" s="51" t="s">
        <v>44</v>
      </c>
      <c r="B15" s="52" t="s">
        <v>82</v>
      </c>
      <c r="C15" s="53" t="s">
        <v>83</v>
      </c>
      <c r="D15" s="37" t="s">
        <v>55</v>
      </c>
      <c r="E15" s="38" t="s">
        <v>84</v>
      </c>
      <c r="F15" s="38" t="s">
        <v>49</v>
      </c>
      <c r="G15" s="37" t="s">
        <v>50</v>
      </c>
      <c r="H15" s="37" t="s">
        <v>85</v>
      </c>
      <c r="I15" s="37" t="s">
        <v>52</v>
      </c>
      <c r="J15" s="39">
        <v>0.66990725220695002</v>
      </c>
      <c r="K15" s="39">
        <v>0.30196111297351602</v>
      </c>
      <c r="L15" s="40">
        <v>2.4300000000000002</v>
      </c>
      <c r="M15" s="75">
        <v>68.75</v>
      </c>
      <c r="N15" s="74">
        <v>35397</v>
      </c>
      <c r="O15" s="6">
        <f t="shared" si="0"/>
        <v>1179.9000000000001</v>
      </c>
      <c r="P15" s="7">
        <v>15</v>
      </c>
      <c r="Q15" s="7">
        <f t="shared" si="1"/>
        <v>15</v>
      </c>
      <c r="R15" s="8">
        <v>529</v>
      </c>
      <c r="S15" s="21">
        <v>1</v>
      </c>
      <c r="T15" s="21">
        <v>30</v>
      </c>
      <c r="U15" s="107">
        <v>280</v>
      </c>
      <c r="V15" s="107">
        <f t="shared" si="2"/>
        <v>126000</v>
      </c>
      <c r="W15" s="9">
        <f t="shared" si="3"/>
        <v>530955</v>
      </c>
      <c r="X15" s="10">
        <f t="shared" si="4"/>
        <v>15870</v>
      </c>
      <c r="Y15" s="10">
        <f t="shared" si="5"/>
        <v>29.889538661468485</v>
      </c>
      <c r="Z15" s="108">
        <f t="shared" si="6"/>
        <v>0</v>
      </c>
      <c r="AA15" s="63">
        <f t="shared" si="7"/>
        <v>15870</v>
      </c>
      <c r="AB15" s="8">
        <f t="shared" si="8"/>
        <v>944.44444444444446</v>
      </c>
      <c r="AC15" s="68">
        <f t="shared" si="9"/>
        <v>0.92998669747251972</v>
      </c>
      <c r="AD15" s="68">
        <f t="shared" si="10"/>
        <v>0.62998669747251979</v>
      </c>
      <c r="AE15" s="8">
        <f t="shared" si="11"/>
        <v>12545.055555555555</v>
      </c>
      <c r="AF15" s="10">
        <f t="shared" si="12"/>
        <v>8498.2055555555562</v>
      </c>
      <c r="AG15" s="10">
        <f t="shared" si="13"/>
        <v>2023.425</v>
      </c>
      <c r="AH15" s="69">
        <f t="shared" si="14"/>
        <v>0.15</v>
      </c>
      <c r="AI15" s="10">
        <f t="shared" si="15"/>
        <v>2023.425</v>
      </c>
    </row>
    <row r="16" spans="1:35" x14ac:dyDescent="0.2">
      <c r="A16" s="51" t="s">
        <v>44</v>
      </c>
      <c r="B16" s="52" t="s">
        <v>86</v>
      </c>
      <c r="C16" s="53" t="s">
        <v>87</v>
      </c>
      <c r="D16" s="37" t="s">
        <v>47</v>
      </c>
      <c r="E16" s="38" t="s">
        <v>88</v>
      </c>
      <c r="F16" s="38" t="s">
        <v>49</v>
      </c>
      <c r="G16" s="37" t="s">
        <v>50</v>
      </c>
      <c r="H16" s="37" t="s">
        <v>89</v>
      </c>
      <c r="I16" s="37" t="s">
        <v>52</v>
      </c>
      <c r="J16" s="39">
        <v>0.50602280060228</v>
      </c>
      <c r="K16" s="39">
        <v>0.46927654692765403</v>
      </c>
      <c r="L16" s="40">
        <v>2.92</v>
      </c>
      <c r="M16" s="75">
        <v>119.65</v>
      </c>
      <c r="N16" s="74">
        <v>54248</v>
      </c>
      <c r="O16" s="6">
        <f t="shared" si="0"/>
        <v>1808.2666666666667</v>
      </c>
      <c r="P16" s="7">
        <v>11</v>
      </c>
      <c r="Q16" s="7">
        <f t="shared" si="1"/>
        <v>11</v>
      </c>
      <c r="R16" s="8">
        <v>529</v>
      </c>
      <c r="S16" s="21">
        <v>1</v>
      </c>
      <c r="T16" s="21">
        <v>30</v>
      </c>
      <c r="U16" s="107">
        <v>280</v>
      </c>
      <c r="V16" s="107">
        <f t="shared" si="2"/>
        <v>92400</v>
      </c>
      <c r="W16" s="9">
        <f t="shared" si="3"/>
        <v>596728</v>
      </c>
      <c r="X16" s="10">
        <f t="shared" si="4"/>
        <v>15870</v>
      </c>
      <c r="Y16" s="10">
        <f t="shared" si="5"/>
        <v>26.595031572173589</v>
      </c>
      <c r="Z16" s="108">
        <f t="shared" si="6"/>
        <v>0</v>
      </c>
      <c r="AA16" s="63">
        <f t="shared" si="7"/>
        <v>15870</v>
      </c>
      <c r="AB16" s="8">
        <f t="shared" si="8"/>
        <v>944.44444444444446</v>
      </c>
      <c r="AC16" s="68">
        <f t="shared" si="9"/>
        <v>0.92998669747251972</v>
      </c>
      <c r="AD16" s="68">
        <f t="shared" si="10"/>
        <v>0.62998669747251979</v>
      </c>
      <c r="AE16" s="8">
        <f t="shared" si="11"/>
        <v>12545.055555555555</v>
      </c>
      <c r="AF16" s="10">
        <f t="shared" si="12"/>
        <v>8498.2055555555562</v>
      </c>
      <c r="AG16" s="10">
        <f t="shared" si="13"/>
        <v>2023.425</v>
      </c>
      <c r="AH16" s="69">
        <f t="shared" si="14"/>
        <v>0.15</v>
      </c>
      <c r="AI16" s="10">
        <f t="shared" si="15"/>
        <v>2023.425</v>
      </c>
    </row>
    <row r="17" spans="1:35" x14ac:dyDescent="0.2">
      <c r="A17" s="51" t="s">
        <v>44</v>
      </c>
      <c r="B17" s="52" t="s">
        <v>90</v>
      </c>
      <c r="C17" s="53" t="s">
        <v>91</v>
      </c>
      <c r="D17" s="37" t="s">
        <v>55</v>
      </c>
      <c r="E17" s="38" t="s">
        <v>92</v>
      </c>
      <c r="F17" s="38" t="s">
        <v>49</v>
      </c>
      <c r="G17" s="37" t="s">
        <v>50</v>
      </c>
      <c r="H17" s="37" t="s">
        <v>93</v>
      </c>
      <c r="I17" s="37" t="s">
        <v>52</v>
      </c>
      <c r="J17" s="39">
        <v>0.63350820781858097</v>
      </c>
      <c r="K17" s="39">
        <v>0.34022677271958002</v>
      </c>
      <c r="L17" s="40">
        <v>2.89</v>
      </c>
      <c r="M17" s="75">
        <v>83.95</v>
      </c>
      <c r="N17" s="74">
        <v>55951</v>
      </c>
      <c r="O17" s="6">
        <f t="shared" si="0"/>
        <v>1865.0333333333333</v>
      </c>
      <c r="P17" s="7">
        <v>11</v>
      </c>
      <c r="Q17" s="7">
        <f t="shared" si="1"/>
        <v>11</v>
      </c>
      <c r="R17" s="8">
        <v>529</v>
      </c>
      <c r="S17" s="21">
        <v>1</v>
      </c>
      <c r="T17" s="21">
        <v>30</v>
      </c>
      <c r="U17" s="107">
        <v>280</v>
      </c>
      <c r="V17" s="107">
        <f t="shared" si="2"/>
        <v>92400</v>
      </c>
      <c r="W17" s="9">
        <f t="shared" si="3"/>
        <v>615461</v>
      </c>
      <c r="X17" s="10">
        <f t="shared" si="4"/>
        <v>15870</v>
      </c>
      <c r="Y17" s="10">
        <f t="shared" si="5"/>
        <v>25.785549368684613</v>
      </c>
      <c r="Z17" s="108">
        <f t="shared" si="6"/>
        <v>0</v>
      </c>
      <c r="AA17" s="63">
        <f t="shared" si="7"/>
        <v>15870</v>
      </c>
      <c r="AB17" s="8">
        <f t="shared" si="8"/>
        <v>944.44444444444446</v>
      </c>
      <c r="AC17" s="68">
        <f t="shared" si="9"/>
        <v>0.92998669747251972</v>
      </c>
      <c r="AD17" s="68">
        <f t="shared" si="10"/>
        <v>0.62998669747251979</v>
      </c>
      <c r="AE17" s="8">
        <f t="shared" si="11"/>
        <v>12545.055555555555</v>
      </c>
      <c r="AF17" s="10">
        <f t="shared" si="12"/>
        <v>8498.2055555555562</v>
      </c>
      <c r="AG17" s="10">
        <f t="shared" si="13"/>
        <v>2023.425</v>
      </c>
      <c r="AH17" s="69">
        <f t="shared" si="14"/>
        <v>0.15</v>
      </c>
      <c r="AI17" s="10">
        <f t="shared" si="15"/>
        <v>2023.425</v>
      </c>
    </row>
    <row r="18" spans="1:35" x14ac:dyDescent="0.2">
      <c r="A18" s="51" t="s">
        <v>44</v>
      </c>
      <c r="B18" s="52" t="s">
        <v>94</v>
      </c>
      <c r="C18" s="53" t="s">
        <v>95</v>
      </c>
      <c r="D18" s="37" t="s">
        <v>55</v>
      </c>
      <c r="E18" s="38" t="s">
        <v>96</v>
      </c>
      <c r="F18" s="38" t="s">
        <v>49</v>
      </c>
      <c r="G18" s="37" t="s">
        <v>50</v>
      </c>
      <c r="H18" s="37" t="s">
        <v>97</v>
      </c>
      <c r="I18" s="37" t="s">
        <v>52</v>
      </c>
      <c r="J18" s="39">
        <v>0.64451420029895301</v>
      </c>
      <c r="K18" s="39">
        <v>0.32588938714499199</v>
      </c>
      <c r="L18" s="40">
        <v>2.35</v>
      </c>
      <c r="M18" s="75">
        <v>103.64</v>
      </c>
      <c r="N18" s="74">
        <v>42551</v>
      </c>
      <c r="O18" s="6">
        <f t="shared" si="0"/>
        <v>1418.3666666666666</v>
      </c>
      <c r="P18" s="7">
        <v>16</v>
      </c>
      <c r="Q18" s="7">
        <f t="shared" si="1"/>
        <v>16</v>
      </c>
      <c r="R18" s="8">
        <v>529</v>
      </c>
      <c r="S18" s="21">
        <v>1</v>
      </c>
      <c r="T18" s="21">
        <v>30</v>
      </c>
      <c r="U18" s="107">
        <v>280</v>
      </c>
      <c r="V18" s="107">
        <f t="shared" si="2"/>
        <v>134400</v>
      </c>
      <c r="W18" s="9">
        <f t="shared" si="3"/>
        <v>680816</v>
      </c>
      <c r="X18" s="10">
        <f t="shared" si="4"/>
        <v>15870</v>
      </c>
      <c r="Y18" s="10">
        <f t="shared" si="5"/>
        <v>23.310262978543395</v>
      </c>
      <c r="Z18" s="108">
        <f t="shared" si="6"/>
        <v>0</v>
      </c>
      <c r="AA18" s="63">
        <f t="shared" si="7"/>
        <v>15870</v>
      </c>
      <c r="AB18" s="8">
        <f t="shared" si="8"/>
        <v>944.44444444444446</v>
      </c>
      <c r="AC18" s="68">
        <f t="shared" si="9"/>
        <v>0.92998669747251972</v>
      </c>
      <c r="AD18" s="68">
        <f t="shared" si="10"/>
        <v>0.62998669747251979</v>
      </c>
      <c r="AE18" s="8">
        <f t="shared" si="11"/>
        <v>12545.055555555555</v>
      </c>
      <c r="AF18" s="10">
        <f t="shared" si="12"/>
        <v>8498.2055555555562</v>
      </c>
      <c r="AG18" s="10">
        <f t="shared" si="13"/>
        <v>2023.425</v>
      </c>
      <c r="AH18" s="69">
        <f t="shared" si="14"/>
        <v>0.15</v>
      </c>
      <c r="AI18" s="10">
        <f t="shared" si="15"/>
        <v>2023.425</v>
      </c>
    </row>
    <row r="19" spans="1:35" x14ac:dyDescent="0.2">
      <c r="A19" s="51" t="s">
        <v>44</v>
      </c>
      <c r="B19" s="52" t="s">
        <v>98</v>
      </c>
      <c r="C19" s="106" t="s">
        <v>99</v>
      </c>
      <c r="D19" s="37" t="s">
        <v>55</v>
      </c>
      <c r="E19" s="38" t="s">
        <v>100</v>
      </c>
      <c r="F19" s="38" t="s">
        <v>49</v>
      </c>
      <c r="G19" s="37" t="s">
        <v>50</v>
      </c>
      <c r="H19" s="37" t="s">
        <v>101</v>
      </c>
      <c r="I19" s="37" t="s">
        <v>52</v>
      </c>
      <c r="J19" s="39">
        <v>0.546557363474516</v>
      </c>
      <c r="K19" s="39">
        <v>0.42313584233842499</v>
      </c>
      <c r="L19" s="40">
        <v>3.35</v>
      </c>
      <c r="M19" s="75">
        <v>136.13999999999999</v>
      </c>
      <c r="N19" s="74">
        <v>42194</v>
      </c>
      <c r="O19" s="6">
        <f t="shared" si="0"/>
        <v>1406.4666666666667</v>
      </c>
      <c r="P19" s="7">
        <v>16</v>
      </c>
      <c r="Q19" s="7">
        <f t="shared" si="1"/>
        <v>16</v>
      </c>
      <c r="R19" s="8">
        <v>529</v>
      </c>
      <c r="S19" s="21">
        <v>1</v>
      </c>
      <c r="T19" s="21">
        <v>30</v>
      </c>
      <c r="U19" s="107">
        <v>280</v>
      </c>
      <c r="V19" s="107">
        <f t="shared" si="2"/>
        <v>134400</v>
      </c>
      <c r="W19" s="9">
        <f t="shared" si="3"/>
        <v>675104</v>
      </c>
      <c r="X19" s="10">
        <f t="shared" si="4"/>
        <v>15870</v>
      </c>
      <c r="Y19" s="10">
        <f t="shared" si="5"/>
        <v>23.507489216476277</v>
      </c>
      <c r="Z19" s="108">
        <f t="shared" si="6"/>
        <v>0</v>
      </c>
      <c r="AA19" s="63">
        <f t="shared" si="7"/>
        <v>15870</v>
      </c>
      <c r="AB19" s="8">
        <f t="shared" si="8"/>
        <v>944.44444444444446</v>
      </c>
      <c r="AC19" s="68">
        <f t="shared" si="9"/>
        <v>0.92998669747251972</v>
      </c>
      <c r="AD19" s="68">
        <f t="shared" si="10"/>
        <v>0.62998669747251979</v>
      </c>
      <c r="AE19" s="8">
        <f t="shared" si="11"/>
        <v>12545.055555555555</v>
      </c>
      <c r="AF19" s="10">
        <f t="shared" si="12"/>
        <v>8498.2055555555562</v>
      </c>
      <c r="AG19" s="10">
        <f t="shared" si="13"/>
        <v>2023.425</v>
      </c>
      <c r="AH19" s="69">
        <f t="shared" si="14"/>
        <v>0.15</v>
      </c>
      <c r="AI19" s="10">
        <f t="shared" si="15"/>
        <v>2023.425</v>
      </c>
    </row>
    <row r="20" spans="1:35" x14ac:dyDescent="0.2">
      <c r="A20" s="51" t="s">
        <v>44</v>
      </c>
      <c r="B20" s="52" t="s">
        <v>102</v>
      </c>
      <c r="C20" s="53" t="s">
        <v>103</v>
      </c>
      <c r="D20" s="37" t="s">
        <v>55</v>
      </c>
      <c r="E20" s="38" t="s">
        <v>104</v>
      </c>
      <c r="F20" s="38" t="s">
        <v>49</v>
      </c>
      <c r="G20" s="37" t="s">
        <v>50</v>
      </c>
      <c r="H20" s="37" t="s">
        <v>105</v>
      </c>
      <c r="I20" s="37" t="s">
        <v>52</v>
      </c>
      <c r="J20" s="39">
        <v>0.51362048063895005</v>
      </c>
      <c r="K20" s="39">
        <v>0.46134921200884199</v>
      </c>
      <c r="L20" s="40">
        <v>2.86</v>
      </c>
      <c r="M20" s="75">
        <v>134.41999999999999</v>
      </c>
      <c r="N20" s="74">
        <v>39377</v>
      </c>
      <c r="O20" s="6">
        <f t="shared" si="0"/>
        <v>1312.5666666666666</v>
      </c>
      <c r="P20" s="7">
        <v>14</v>
      </c>
      <c r="Q20" s="7">
        <f t="shared" si="1"/>
        <v>14</v>
      </c>
      <c r="R20" s="8">
        <v>529</v>
      </c>
      <c r="S20" s="21">
        <v>1</v>
      </c>
      <c r="T20" s="21">
        <v>30</v>
      </c>
      <c r="U20" s="107">
        <v>280</v>
      </c>
      <c r="V20" s="107">
        <f t="shared" si="2"/>
        <v>117600</v>
      </c>
      <c r="W20" s="9">
        <f t="shared" si="3"/>
        <v>551278</v>
      </c>
      <c r="X20" s="10">
        <f t="shared" si="4"/>
        <v>15870</v>
      </c>
      <c r="Y20" s="10">
        <f t="shared" si="5"/>
        <v>28.78765341624371</v>
      </c>
      <c r="Z20" s="108">
        <f t="shared" si="6"/>
        <v>0</v>
      </c>
      <c r="AA20" s="63">
        <f t="shared" si="7"/>
        <v>15870</v>
      </c>
      <c r="AB20" s="8">
        <f t="shared" si="8"/>
        <v>944.44444444444446</v>
      </c>
      <c r="AC20" s="68">
        <f t="shared" si="9"/>
        <v>0.92998669747251972</v>
      </c>
      <c r="AD20" s="68">
        <f t="shared" si="10"/>
        <v>0.62998669747251979</v>
      </c>
      <c r="AE20" s="8">
        <f t="shared" si="11"/>
        <v>12545.055555555555</v>
      </c>
      <c r="AF20" s="10">
        <f t="shared" si="12"/>
        <v>8498.2055555555562</v>
      </c>
      <c r="AG20" s="10">
        <f t="shared" si="13"/>
        <v>2023.425</v>
      </c>
      <c r="AH20" s="69">
        <f t="shared" si="14"/>
        <v>0.15</v>
      </c>
      <c r="AI20" s="10">
        <f t="shared" si="15"/>
        <v>2023.425</v>
      </c>
    </row>
    <row r="21" spans="1:35" x14ac:dyDescent="0.2">
      <c r="A21" s="51" t="s">
        <v>44</v>
      </c>
      <c r="B21" s="52" t="s">
        <v>106</v>
      </c>
      <c r="C21" s="53" t="s">
        <v>107</v>
      </c>
      <c r="D21" s="37" t="s">
        <v>55</v>
      </c>
      <c r="E21" s="38" t="s">
        <v>108</v>
      </c>
      <c r="F21" s="38" t="s">
        <v>49</v>
      </c>
      <c r="G21" s="37" t="s">
        <v>50</v>
      </c>
      <c r="H21" s="37" t="s">
        <v>109</v>
      </c>
      <c r="I21" s="37" t="s">
        <v>52</v>
      </c>
      <c r="J21" s="39">
        <v>0.51807185150205204</v>
      </c>
      <c r="K21" s="39">
        <v>0.45588288713719999</v>
      </c>
      <c r="L21" s="40">
        <v>2.84</v>
      </c>
      <c r="M21" s="75">
        <v>120.57</v>
      </c>
      <c r="N21" s="74">
        <v>39766</v>
      </c>
      <c r="O21" s="6">
        <f>N21/30</f>
        <v>1325.5333333333333</v>
      </c>
      <c r="P21" s="7">
        <v>16</v>
      </c>
      <c r="Q21" s="7">
        <f>IF(AND(S21&gt;0,T21&gt;0),P21,0)</f>
        <v>16</v>
      </c>
      <c r="R21" s="8">
        <v>529</v>
      </c>
      <c r="S21" s="21">
        <v>1</v>
      </c>
      <c r="T21" s="21">
        <v>30</v>
      </c>
      <c r="U21" s="7">
        <v>280</v>
      </c>
      <c r="V21" s="7">
        <f>U21*T21*Q21</f>
        <v>134400</v>
      </c>
      <c r="W21" s="9">
        <f>IF(AND(S21&gt;0,T21&gt;0),T21*P21*O21,0)</f>
        <v>636256</v>
      </c>
      <c r="X21" s="10">
        <f>R21*S21*T21</f>
        <v>15870</v>
      </c>
      <c r="Y21" s="10">
        <f t="shared" si="5"/>
        <v>24.942790323391844</v>
      </c>
      <c r="Z21" s="88">
        <f>$Z$5</f>
        <v>0</v>
      </c>
      <c r="AA21" s="63">
        <f>X21*(1-Z21)</f>
        <v>15870</v>
      </c>
      <c r="AB21" s="8">
        <f>((17000/30/18)*T21)*S21</f>
        <v>944.44444444444446</v>
      </c>
      <c r="AC21" s="68">
        <f>IFERROR(((AA21*0.85)-AB21)/(AA21*0.85),0)</f>
        <v>0.92998669747251972</v>
      </c>
      <c r="AD21" s="68">
        <f>IFERROR(((AA21*0.85)-(AB21+AG21+AI21))/(AA21*0.85),0)</f>
        <v>0.62998669747251979</v>
      </c>
      <c r="AE21" s="8">
        <f>(AA21*0.85)-AB21</f>
        <v>12545.055555555555</v>
      </c>
      <c r="AF21" s="10">
        <f>(AA21*0.85)-AB21-AG21-AI21</f>
        <v>8498.2055555555562</v>
      </c>
      <c r="AG21" s="10">
        <f>((AA21*0.85)*(0.3-AH21))</f>
        <v>2023.425</v>
      </c>
      <c r="AH21" s="69">
        <f>$AH$5</f>
        <v>0.15</v>
      </c>
      <c r="AI21" s="10">
        <f>AH21*(AA21*0.85)</f>
        <v>2023.425</v>
      </c>
    </row>
    <row r="22" spans="1:35" ht="16" thickBot="1" x14ac:dyDescent="0.25">
      <c r="A22" s="54" t="s">
        <v>44</v>
      </c>
      <c r="B22" s="55" t="s">
        <v>110</v>
      </c>
      <c r="C22" s="56" t="s">
        <v>111</v>
      </c>
      <c r="D22" s="41" t="s">
        <v>47</v>
      </c>
      <c r="E22" s="42" t="s">
        <v>112</v>
      </c>
      <c r="F22" s="42" t="s">
        <v>49</v>
      </c>
      <c r="G22" s="41" t="s">
        <v>50</v>
      </c>
      <c r="H22" s="41" t="s">
        <v>113</v>
      </c>
      <c r="I22" s="41" t="s">
        <v>52</v>
      </c>
      <c r="J22" s="43">
        <v>0.51807185150205204</v>
      </c>
      <c r="K22" s="43">
        <v>0.45588288713719999</v>
      </c>
      <c r="L22" s="44">
        <v>2.2000000000000002</v>
      </c>
      <c r="M22" s="79">
        <v>173.43</v>
      </c>
      <c r="N22" s="78">
        <v>53358</v>
      </c>
      <c r="O22" s="27">
        <f>N21/30</f>
        <v>1325.5333333333333</v>
      </c>
      <c r="P22" s="28">
        <v>21</v>
      </c>
      <c r="Q22" s="28">
        <f t="shared" si="1"/>
        <v>21</v>
      </c>
      <c r="R22" s="8">
        <v>529</v>
      </c>
      <c r="S22" s="86">
        <v>1</v>
      </c>
      <c r="T22" s="21">
        <v>30</v>
      </c>
      <c r="U22" s="109">
        <v>280</v>
      </c>
      <c r="V22" s="109">
        <f t="shared" si="2"/>
        <v>176400</v>
      </c>
      <c r="W22" s="30">
        <f t="shared" si="3"/>
        <v>835086</v>
      </c>
      <c r="X22" s="31">
        <f t="shared" si="4"/>
        <v>15870</v>
      </c>
      <c r="Y22" s="10">
        <f t="shared" si="5"/>
        <v>19.004030722584261</v>
      </c>
      <c r="Z22" s="110">
        <f t="shared" si="6"/>
        <v>0</v>
      </c>
      <c r="AA22" s="64">
        <f t="shared" si="7"/>
        <v>15870</v>
      </c>
      <c r="AB22" s="29">
        <f t="shared" si="8"/>
        <v>944.44444444444446</v>
      </c>
      <c r="AC22" s="72">
        <f t="shared" si="9"/>
        <v>0.92998669747251972</v>
      </c>
      <c r="AD22" s="72">
        <f t="shared" si="10"/>
        <v>0.62998669747251979</v>
      </c>
      <c r="AE22" s="29">
        <f t="shared" si="11"/>
        <v>12545.055555555555</v>
      </c>
      <c r="AF22" s="31">
        <f t="shared" si="12"/>
        <v>8498.2055555555562</v>
      </c>
      <c r="AG22" s="31">
        <f t="shared" si="13"/>
        <v>2023.425</v>
      </c>
      <c r="AH22" s="73">
        <f t="shared" si="14"/>
        <v>0.15</v>
      </c>
      <c r="AI22" s="31">
        <f t="shared" si="15"/>
        <v>2023.425</v>
      </c>
    </row>
    <row r="23" spans="1:35" x14ac:dyDescent="0.2">
      <c r="A23" s="59" t="s">
        <v>114</v>
      </c>
      <c r="B23" s="52" t="s">
        <v>115</v>
      </c>
      <c r="C23" s="106" t="s">
        <v>116</v>
      </c>
      <c r="D23" s="37" t="s">
        <v>47</v>
      </c>
      <c r="E23" s="38" t="s">
        <v>117</v>
      </c>
      <c r="F23" s="38" t="s">
        <v>118</v>
      </c>
      <c r="G23" s="37" t="s">
        <v>119</v>
      </c>
      <c r="H23" s="37" t="s">
        <v>120</v>
      </c>
      <c r="I23" s="37" t="s">
        <v>121</v>
      </c>
      <c r="J23" s="39">
        <v>0.6737027021444022</v>
      </c>
      <c r="K23" s="39">
        <v>0.3262972978555978</v>
      </c>
      <c r="L23" s="40">
        <v>2.06</v>
      </c>
      <c r="M23" s="75">
        <v>151.9</v>
      </c>
      <c r="N23" s="74">
        <v>35214</v>
      </c>
      <c r="O23" s="6">
        <f t="shared" si="0"/>
        <v>1173.8</v>
      </c>
      <c r="P23" s="7">
        <v>16</v>
      </c>
      <c r="Q23" s="7">
        <f t="shared" si="1"/>
        <v>16</v>
      </c>
      <c r="R23" s="8">
        <v>529</v>
      </c>
      <c r="S23" s="85">
        <v>1</v>
      </c>
      <c r="T23" s="21">
        <v>30</v>
      </c>
      <c r="U23" s="111">
        <v>280</v>
      </c>
      <c r="V23" s="111">
        <f t="shared" si="2"/>
        <v>134400</v>
      </c>
      <c r="W23" s="9">
        <f t="shared" si="3"/>
        <v>563424</v>
      </c>
      <c r="X23" s="10">
        <f>R23*S23*T23</f>
        <v>15870</v>
      </c>
      <c r="Y23" s="10">
        <f t="shared" si="5"/>
        <v>28.167064235815303</v>
      </c>
      <c r="Z23" s="108">
        <f t="shared" si="6"/>
        <v>0</v>
      </c>
      <c r="AA23" s="63">
        <f t="shared" si="7"/>
        <v>15870</v>
      </c>
      <c r="AB23" s="8">
        <f t="shared" si="8"/>
        <v>944.44444444444446</v>
      </c>
      <c r="AC23" s="68">
        <f t="shared" si="9"/>
        <v>0.92998669747251972</v>
      </c>
      <c r="AD23" s="68">
        <f t="shared" si="10"/>
        <v>0.62998669747251979</v>
      </c>
      <c r="AE23" s="8">
        <f t="shared" si="11"/>
        <v>12545.055555555555</v>
      </c>
      <c r="AF23" s="10">
        <f t="shared" si="12"/>
        <v>8498.2055555555562</v>
      </c>
      <c r="AG23" s="10">
        <f t="shared" si="13"/>
        <v>2023.425</v>
      </c>
      <c r="AH23" s="69">
        <f t="shared" si="14"/>
        <v>0.15</v>
      </c>
      <c r="AI23" s="10">
        <f t="shared" si="15"/>
        <v>2023.425</v>
      </c>
    </row>
    <row r="24" spans="1:35" x14ac:dyDescent="0.2">
      <c r="A24" s="59" t="s">
        <v>114</v>
      </c>
      <c r="B24" s="52" t="s">
        <v>122</v>
      </c>
      <c r="C24" s="53" t="s">
        <v>123</v>
      </c>
      <c r="D24" s="37" t="s">
        <v>47</v>
      </c>
      <c r="E24" s="38" t="s">
        <v>124</v>
      </c>
      <c r="F24" s="38" t="s">
        <v>118</v>
      </c>
      <c r="G24" s="37" t="s">
        <v>119</v>
      </c>
      <c r="H24" s="37" t="s">
        <v>125</v>
      </c>
      <c r="I24" s="37" t="s">
        <v>52</v>
      </c>
      <c r="J24" s="39">
        <v>0.56825749167591499</v>
      </c>
      <c r="K24" s="39">
        <v>0.37513873473917803</v>
      </c>
      <c r="L24" s="40">
        <v>2.0299999999999998</v>
      </c>
      <c r="M24" s="75">
        <v>132.78</v>
      </c>
      <c r="N24" s="74">
        <v>44032</v>
      </c>
      <c r="O24" s="6">
        <f t="shared" si="0"/>
        <v>1467.7333333333333</v>
      </c>
      <c r="P24" s="7">
        <v>16</v>
      </c>
      <c r="Q24" s="7">
        <f t="shared" si="1"/>
        <v>16</v>
      </c>
      <c r="R24" s="8">
        <v>529</v>
      </c>
      <c r="S24" s="21">
        <v>1</v>
      </c>
      <c r="T24" s="21">
        <v>30</v>
      </c>
      <c r="U24" s="107">
        <v>280</v>
      </c>
      <c r="V24" s="107">
        <f t="shared" si="2"/>
        <v>134400</v>
      </c>
      <c r="W24" s="9">
        <f t="shared" si="3"/>
        <v>704512</v>
      </c>
      <c r="X24" s="10">
        <f t="shared" si="4"/>
        <v>15870</v>
      </c>
      <c r="Y24" s="10">
        <f t="shared" si="5"/>
        <v>22.526230922965119</v>
      </c>
      <c r="Z24" s="108">
        <f t="shared" si="6"/>
        <v>0</v>
      </c>
      <c r="AA24" s="63">
        <f t="shared" si="7"/>
        <v>15870</v>
      </c>
      <c r="AB24" s="8">
        <f t="shared" si="8"/>
        <v>944.44444444444446</v>
      </c>
      <c r="AC24" s="68">
        <f t="shared" si="9"/>
        <v>0.92998669747251972</v>
      </c>
      <c r="AD24" s="68">
        <f t="shared" si="10"/>
        <v>0.62998669747251979</v>
      </c>
      <c r="AE24" s="8">
        <f t="shared" si="11"/>
        <v>12545.055555555555</v>
      </c>
      <c r="AF24" s="10">
        <f t="shared" si="12"/>
        <v>8498.2055555555562</v>
      </c>
      <c r="AG24" s="10">
        <f t="shared" si="13"/>
        <v>2023.425</v>
      </c>
      <c r="AH24" s="69">
        <f t="shared" si="14"/>
        <v>0.15</v>
      </c>
      <c r="AI24" s="10">
        <f t="shared" si="15"/>
        <v>2023.425</v>
      </c>
    </row>
    <row r="25" spans="1:35" x14ac:dyDescent="0.2">
      <c r="A25" s="59" t="s">
        <v>114</v>
      </c>
      <c r="B25" s="52" t="s">
        <v>126</v>
      </c>
      <c r="C25" s="53" t="s">
        <v>127</v>
      </c>
      <c r="D25" s="37" t="s">
        <v>47</v>
      </c>
      <c r="E25" s="38" t="s">
        <v>128</v>
      </c>
      <c r="F25" s="38" t="s">
        <v>118</v>
      </c>
      <c r="G25" s="37" t="s">
        <v>119</v>
      </c>
      <c r="H25" s="37" t="s">
        <v>129</v>
      </c>
      <c r="I25" s="37" t="s">
        <v>52</v>
      </c>
      <c r="J25" s="39">
        <v>0.56761859806466797</v>
      </c>
      <c r="K25" s="39">
        <v>0.37479348595704498</v>
      </c>
      <c r="L25" s="40">
        <v>2</v>
      </c>
      <c r="M25" s="75">
        <v>160.72999999999999</v>
      </c>
      <c r="N25" s="74">
        <v>25193</v>
      </c>
      <c r="O25" s="6">
        <f t="shared" si="0"/>
        <v>839.76666666666665</v>
      </c>
      <c r="P25" s="7">
        <v>16</v>
      </c>
      <c r="Q25" s="7">
        <f t="shared" si="1"/>
        <v>16</v>
      </c>
      <c r="R25" s="8">
        <v>529</v>
      </c>
      <c r="S25" s="21">
        <v>1</v>
      </c>
      <c r="T25" s="21">
        <v>30</v>
      </c>
      <c r="U25" s="107">
        <v>280</v>
      </c>
      <c r="V25" s="107">
        <f t="shared" si="2"/>
        <v>134400</v>
      </c>
      <c r="W25" s="9">
        <f t="shared" si="3"/>
        <v>403088</v>
      </c>
      <c r="X25" s="10">
        <f t="shared" si="4"/>
        <v>15870</v>
      </c>
      <c r="Y25" s="10">
        <f t="shared" si="5"/>
        <v>39.371055451911246</v>
      </c>
      <c r="Z25" s="108">
        <f t="shared" si="6"/>
        <v>0</v>
      </c>
      <c r="AA25" s="63">
        <f t="shared" si="7"/>
        <v>15870</v>
      </c>
      <c r="AB25" s="8">
        <f t="shared" si="8"/>
        <v>944.44444444444446</v>
      </c>
      <c r="AC25" s="68">
        <f t="shared" si="9"/>
        <v>0.92998669747251972</v>
      </c>
      <c r="AD25" s="68">
        <f t="shared" si="10"/>
        <v>0.62998669747251979</v>
      </c>
      <c r="AE25" s="8">
        <f t="shared" si="11"/>
        <v>12545.055555555555</v>
      </c>
      <c r="AF25" s="10">
        <f t="shared" si="12"/>
        <v>8498.2055555555562</v>
      </c>
      <c r="AG25" s="10">
        <f t="shared" si="13"/>
        <v>2023.425</v>
      </c>
      <c r="AH25" s="69">
        <f t="shared" si="14"/>
        <v>0.15</v>
      </c>
      <c r="AI25" s="10">
        <f t="shared" si="15"/>
        <v>2023.425</v>
      </c>
    </row>
    <row r="26" spans="1:35" x14ac:dyDescent="0.2">
      <c r="A26" s="59" t="s">
        <v>114</v>
      </c>
      <c r="B26" s="52" t="s">
        <v>130</v>
      </c>
      <c r="C26" s="53" t="s">
        <v>131</v>
      </c>
      <c r="D26" s="37" t="s">
        <v>55</v>
      </c>
      <c r="E26" s="38" t="s">
        <v>132</v>
      </c>
      <c r="F26" s="38" t="s">
        <v>133</v>
      </c>
      <c r="G26" s="37" t="s">
        <v>119</v>
      </c>
      <c r="H26" s="37" t="s">
        <v>134</v>
      </c>
      <c r="I26" s="37" t="s">
        <v>52</v>
      </c>
      <c r="J26" s="39">
        <v>0.56738010305192199</v>
      </c>
      <c r="K26" s="39">
        <v>0.369599682917162</v>
      </c>
      <c r="L26" s="40">
        <v>1.89</v>
      </c>
      <c r="M26" s="75">
        <v>140.66999999999999</v>
      </c>
      <c r="N26" s="74">
        <v>34077</v>
      </c>
      <c r="O26" s="6">
        <f t="shared" si="0"/>
        <v>1135.9000000000001</v>
      </c>
      <c r="P26" s="7">
        <v>16</v>
      </c>
      <c r="Q26" s="7">
        <f t="shared" si="1"/>
        <v>16</v>
      </c>
      <c r="R26" s="8">
        <v>529</v>
      </c>
      <c r="S26" s="21">
        <v>1</v>
      </c>
      <c r="T26" s="21">
        <v>30</v>
      </c>
      <c r="U26" s="107">
        <v>280</v>
      </c>
      <c r="V26" s="107">
        <f t="shared" si="2"/>
        <v>134400</v>
      </c>
      <c r="W26" s="9">
        <f t="shared" si="3"/>
        <v>545232</v>
      </c>
      <c r="X26" s="10">
        <f t="shared" si="4"/>
        <v>15870</v>
      </c>
      <c r="Y26" s="10">
        <f t="shared" si="5"/>
        <v>29.106875605246941</v>
      </c>
      <c r="Z26" s="108">
        <f t="shared" si="6"/>
        <v>0</v>
      </c>
      <c r="AA26" s="63">
        <f t="shared" si="7"/>
        <v>15870</v>
      </c>
      <c r="AB26" s="8">
        <f t="shared" si="8"/>
        <v>944.44444444444446</v>
      </c>
      <c r="AC26" s="68">
        <f t="shared" si="9"/>
        <v>0.92998669747251972</v>
      </c>
      <c r="AD26" s="68">
        <f t="shared" si="10"/>
        <v>0.62998669747251979</v>
      </c>
      <c r="AE26" s="8">
        <f t="shared" si="11"/>
        <v>12545.055555555555</v>
      </c>
      <c r="AF26" s="10">
        <f t="shared" si="12"/>
        <v>8498.2055555555562</v>
      </c>
      <c r="AG26" s="10">
        <f t="shared" si="13"/>
        <v>2023.425</v>
      </c>
      <c r="AH26" s="69">
        <f t="shared" si="14"/>
        <v>0.15</v>
      </c>
      <c r="AI26" s="10">
        <f t="shared" si="15"/>
        <v>2023.425</v>
      </c>
    </row>
    <row r="27" spans="1:35" x14ac:dyDescent="0.2">
      <c r="A27" s="59" t="s">
        <v>114</v>
      </c>
      <c r="B27" s="52" t="s">
        <v>135</v>
      </c>
      <c r="C27" s="53" t="s">
        <v>136</v>
      </c>
      <c r="D27" s="37" t="s">
        <v>47</v>
      </c>
      <c r="E27" s="38" t="s">
        <v>137</v>
      </c>
      <c r="F27" s="38" t="s">
        <v>118</v>
      </c>
      <c r="G27" s="37" t="s">
        <v>119</v>
      </c>
      <c r="H27" s="37" t="s">
        <v>138</v>
      </c>
      <c r="I27" s="37" t="s">
        <v>52</v>
      </c>
      <c r="J27" s="39">
        <v>0.55818994050910631</v>
      </c>
      <c r="K27" s="39">
        <v>0.4087662687322306</v>
      </c>
      <c r="L27" s="40">
        <v>2.13</v>
      </c>
      <c r="M27" s="75">
        <v>143.84</v>
      </c>
      <c r="N27" s="74">
        <v>23069</v>
      </c>
      <c r="O27" s="6">
        <f t="shared" si="0"/>
        <v>768.9666666666667</v>
      </c>
      <c r="P27" s="7">
        <v>13</v>
      </c>
      <c r="Q27" s="7">
        <f t="shared" si="1"/>
        <v>13</v>
      </c>
      <c r="R27" s="8">
        <v>529</v>
      </c>
      <c r="S27" s="21">
        <v>1</v>
      </c>
      <c r="T27" s="21">
        <v>30</v>
      </c>
      <c r="U27" s="107">
        <v>280</v>
      </c>
      <c r="V27" s="107">
        <f t="shared" si="2"/>
        <v>109200</v>
      </c>
      <c r="W27" s="9">
        <f t="shared" si="3"/>
        <v>299897</v>
      </c>
      <c r="X27" s="10">
        <f t="shared" si="4"/>
        <v>15870</v>
      </c>
      <c r="Y27" s="10">
        <f t="shared" si="5"/>
        <v>52.918168571209449</v>
      </c>
      <c r="Z27" s="108">
        <f t="shared" si="6"/>
        <v>0</v>
      </c>
      <c r="AA27" s="63">
        <f t="shared" si="7"/>
        <v>15870</v>
      </c>
      <c r="AB27" s="8">
        <f t="shared" si="8"/>
        <v>944.44444444444446</v>
      </c>
      <c r="AC27" s="68">
        <f t="shared" si="9"/>
        <v>0.92998669747251972</v>
      </c>
      <c r="AD27" s="68">
        <f t="shared" si="10"/>
        <v>0.62998669747251979</v>
      </c>
      <c r="AE27" s="8">
        <f t="shared" si="11"/>
        <v>12545.055555555555</v>
      </c>
      <c r="AF27" s="10">
        <f t="shared" si="12"/>
        <v>8498.2055555555562</v>
      </c>
      <c r="AG27" s="10">
        <f t="shared" si="13"/>
        <v>2023.425</v>
      </c>
      <c r="AH27" s="69">
        <f t="shared" si="14"/>
        <v>0.15</v>
      </c>
      <c r="AI27" s="10">
        <f t="shared" si="15"/>
        <v>2023.425</v>
      </c>
    </row>
    <row r="28" spans="1:35" x14ac:dyDescent="0.2">
      <c r="A28" s="59" t="s">
        <v>114</v>
      </c>
      <c r="B28" s="52" t="s">
        <v>139</v>
      </c>
      <c r="C28" s="53" t="s">
        <v>140</v>
      </c>
      <c r="D28" s="37" t="s">
        <v>55</v>
      </c>
      <c r="E28" s="38" t="s">
        <v>141</v>
      </c>
      <c r="F28" s="38" t="s">
        <v>118</v>
      </c>
      <c r="G28" s="37" t="s">
        <v>119</v>
      </c>
      <c r="H28" s="37" t="s">
        <v>142</v>
      </c>
      <c r="I28" s="37" t="s">
        <v>52</v>
      </c>
      <c r="J28" s="39">
        <v>0.54966887417218502</v>
      </c>
      <c r="K28" s="39">
        <v>0.38454746136865298</v>
      </c>
      <c r="L28" s="40">
        <v>2.29</v>
      </c>
      <c r="M28" s="75">
        <v>137.91999999999999</v>
      </c>
      <c r="N28" s="74">
        <v>28402</v>
      </c>
      <c r="O28" s="6">
        <f t="shared" si="0"/>
        <v>946.73333333333335</v>
      </c>
      <c r="P28" s="7">
        <v>17</v>
      </c>
      <c r="Q28" s="7">
        <f t="shared" si="1"/>
        <v>17</v>
      </c>
      <c r="R28" s="8">
        <v>529</v>
      </c>
      <c r="S28" s="21">
        <v>1</v>
      </c>
      <c r="T28" s="21">
        <v>30</v>
      </c>
      <c r="U28" s="107">
        <v>280</v>
      </c>
      <c r="V28" s="107">
        <f t="shared" si="2"/>
        <v>142800</v>
      </c>
      <c r="W28" s="9">
        <f t="shared" si="3"/>
        <v>482834</v>
      </c>
      <c r="X28" s="10">
        <f t="shared" si="4"/>
        <v>15870</v>
      </c>
      <c r="Y28" s="10">
        <f t="shared" si="5"/>
        <v>32.86843925655608</v>
      </c>
      <c r="Z28" s="108">
        <f t="shared" si="6"/>
        <v>0</v>
      </c>
      <c r="AA28" s="63">
        <f t="shared" si="7"/>
        <v>15870</v>
      </c>
      <c r="AB28" s="8">
        <f t="shared" si="8"/>
        <v>944.44444444444446</v>
      </c>
      <c r="AC28" s="68">
        <f t="shared" si="9"/>
        <v>0.92998669747251972</v>
      </c>
      <c r="AD28" s="68">
        <f t="shared" si="10"/>
        <v>0.62998669747251979</v>
      </c>
      <c r="AE28" s="8">
        <f t="shared" si="11"/>
        <v>12545.055555555555</v>
      </c>
      <c r="AF28" s="10">
        <f t="shared" si="12"/>
        <v>8498.2055555555562</v>
      </c>
      <c r="AG28" s="10">
        <f t="shared" si="13"/>
        <v>2023.425</v>
      </c>
      <c r="AH28" s="69">
        <f t="shared" si="14"/>
        <v>0.15</v>
      </c>
      <c r="AI28" s="10">
        <f t="shared" si="15"/>
        <v>2023.425</v>
      </c>
    </row>
    <row r="29" spans="1:35" x14ac:dyDescent="0.2">
      <c r="A29" s="59" t="s">
        <v>114</v>
      </c>
      <c r="B29" s="52" t="s">
        <v>143</v>
      </c>
      <c r="C29" s="53" t="s">
        <v>144</v>
      </c>
      <c r="D29" s="37" t="s">
        <v>47</v>
      </c>
      <c r="E29" s="38" t="s">
        <v>145</v>
      </c>
      <c r="F29" s="38" t="s">
        <v>118</v>
      </c>
      <c r="G29" s="37" t="s">
        <v>119</v>
      </c>
      <c r="H29" s="37" t="s">
        <v>146</v>
      </c>
      <c r="I29" s="37" t="s">
        <v>52</v>
      </c>
      <c r="J29" s="39">
        <v>0.56663895869249692</v>
      </c>
      <c r="K29" s="39">
        <v>0.39720369036911352</v>
      </c>
      <c r="L29" s="40">
        <v>2.21</v>
      </c>
      <c r="M29" s="75">
        <v>150.53</v>
      </c>
      <c r="N29" s="74">
        <v>29773</v>
      </c>
      <c r="O29" s="6">
        <f t="shared" si="0"/>
        <v>992.43333333333328</v>
      </c>
      <c r="P29" s="7">
        <v>14</v>
      </c>
      <c r="Q29" s="7">
        <f t="shared" si="1"/>
        <v>14</v>
      </c>
      <c r="R29" s="8">
        <v>529</v>
      </c>
      <c r="S29" s="21">
        <v>1</v>
      </c>
      <c r="T29" s="21">
        <v>30</v>
      </c>
      <c r="U29" s="107">
        <v>280</v>
      </c>
      <c r="V29" s="107">
        <f t="shared" si="2"/>
        <v>117600</v>
      </c>
      <c r="W29" s="9">
        <f t="shared" si="3"/>
        <v>416822</v>
      </c>
      <c r="X29" s="10">
        <f t="shared" si="4"/>
        <v>15870</v>
      </c>
      <c r="Y29" s="10">
        <f t="shared" si="5"/>
        <v>38.073806085091476</v>
      </c>
      <c r="Z29" s="108">
        <f t="shared" si="6"/>
        <v>0</v>
      </c>
      <c r="AA29" s="63">
        <f t="shared" si="7"/>
        <v>15870</v>
      </c>
      <c r="AB29" s="8">
        <f t="shared" si="8"/>
        <v>944.44444444444446</v>
      </c>
      <c r="AC29" s="68">
        <f t="shared" si="9"/>
        <v>0.92998669747251972</v>
      </c>
      <c r="AD29" s="68">
        <f t="shared" si="10"/>
        <v>0.62998669747251979</v>
      </c>
      <c r="AE29" s="8">
        <f t="shared" si="11"/>
        <v>12545.055555555555</v>
      </c>
      <c r="AF29" s="10">
        <f t="shared" si="12"/>
        <v>8498.2055555555562</v>
      </c>
      <c r="AG29" s="10">
        <f t="shared" si="13"/>
        <v>2023.425</v>
      </c>
      <c r="AH29" s="69">
        <f t="shared" si="14"/>
        <v>0.15</v>
      </c>
      <c r="AI29" s="10">
        <f t="shared" si="15"/>
        <v>2023.425</v>
      </c>
    </row>
    <row r="30" spans="1:35" x14ac:dyDescent="0.2">
      <c r="A30" s="59" t="s">
        <v>114</v>
      </c>
      <c r="B30" s="52" t="s">
        <v>147</v>
      </c>
      <c r="C30" s="106" t="s">
        <v>148</v>
      </c>
      <c r="D30" s="37" t="s">
        <v>55</v>
      </c>
      <c r="E30" s="38" t="s">
        <v>149</v>
      </c>
      <c r="F30" s="38" t="s">
        <v>150</v>
      </c>
      <c r="G30" s="37" t="s">
        <v>119</v>
      </c>
      <c r="H30" s="37" t="s">
        <v>151</v>
      </c>
      <c r="I30" s="37" t="s">
        <v>121</v>
      </c>
      <c r="J30" s="39">
        <v>0.67836785915763431</v>
      </c>
      <c r="K30" s="39">
        <v>0.32163214084236569</v>
      </c>
      <c r="L30" s="40">
        <v>2.13</v>
      </c>
      <c r="M30" s="75">
        <v>119.56</v>
      </c>
      <c r="N30" s="74">
        <v>26288</v>
      </c>
      <c r="O30" s="6">
        <f t="shared" si="0"/>
        <v>876.26666666666665</v>
      </c>
      <c r="P30" s="7">
        <v>18</v>
      </c>
      <c r="Q30" s="7">
        <f t="shared" si="1"/>
        <v>18</v>
      </c>
      <c r="R30" s="8">
        <v>529</v>
      </c>
      <c r="S30" s="21">
        <v>1</v>
      </c>
      <c r="T30" s="21">
        <v>30</v>
      </c>
      <c r="U30" s="107">
        <v>280</v>
      </c>
      <c r="V30" s="107">
        <f t="shared" si="2"/>
        <v>151200</v>
      </c>
      <c r="W30" s="9">
        <f t="shared" si="3"/>
        <v>473184</v>
      </c>
      <c r="X30" s="10">
        <f t="shared" si="4"/>
        <v>15870</v>
      </c>
      <c r="Y30" s="10">
        <f t="shared" si="5"/>
        <v>33.538750253601137</v>
      </c>
      <c r="Z30" s="108">
        <f t="shared" si="6"/>
        <v>0</v>
      </c>
      <c r="AA30" s="63">
        <f t="shared" si="7"/>
        <v>15870</v>
      </c>
      <c r="AB30" s="8">
        <f t="shared" si="8"/>
        <v>944.44444444444446</v>
      </c>
      <c r="AC30" s="68">
        <f t="shared" si="9"/>
        <v>0.92998669747251972</v>
      </c>
      <c r="AD30" s="68">
        <f t="shared" si="10"/>
        <v>0.62998669747251979</v>
      </c>
      <c r="AE30" s="8">
        <f t="shared" si="11"/>
        <v>12545.055555555555</v>
      </c>
      <c r="AF30" s="10">
        <f t="shared" si="12"/>
        <v>8498.2055555555562</v>
      </c>
      <c r="AG30" s="10">
        <f t="shared" si="13"/>
        <v>2023.425</v>
      </c>
      <c r="AH30" s="69">
        <f t="shared" si="14"/>
        <v>0.15</v>
      </c>
      <c r="AI30" s="10">
        <f t="shared" si="15"/>
        <v>2023.425</v>
      </c>
    </row>
    <row r="31" spans="1:35" x14ac:dyDescent="0.2">
      <c r="A31" s="59" t="s">
        <v>114</v>
      </c>
      <c r="B31" s="52" t="s">
        <v>152</v>
      </c>
      <c r="C31" s="53" t="s">
        <v>153</v>
      </c>
      <c r="D31" s="37" t="s">
        <v>47</v>
      </c>
      <c r="E31" s="38" t="s">
        <v>154</v>
      </c>
      <c r="F31" s="38" t="s">
        <v>118</v>
      </c>
      <c r="G31" s="37" t="s">
        <v>119</v>
      </c>
      <c r="H31" s="37" t="s">
        <v>155</v>
      </c>
      <c r="I31" s="37" t="s">
        <v>52</v>
      </c>
      <c r="J31" s="39">
        <v>0.60835152838427897</v>
      </c>
      <c r="K31" s="39">
        <v>0.32887554585152801</v>
      </c>
      <c r="L31" s="40">
        <v>2</v>
      </c>
      <c r="M31" s="75">
        <v>101.35</v>
      </c>
      <c r="N31" s="74">
        <v>28628</v>
      </c>
      <c r="O31" s="6">
        <f t="shared" si="0"/>
        <v>954.26666666666665</v>
      </c>
      <c r="P31" s="7">
        <v>17</v>
      </c>
      <c r="Q31" s="7">
        <f t="shared" si="1"/>
        <v>17</v>
      </c>
      <c r="R31" s="8">
        <v>529</v>
      </c>
      <c r="S31" s="21">
        <v>1</v>
      </c>
      <c r="T31" s="21">
        <v>30</v>
      </c>
      <c r="U31" s="107">
        <v>280</v>
      </c>
      <c r="V31" s="107">
        <f t="shared" si="2"/>
        <v>142800</v>
      </c>
      <c r="W31" s="9">
        <f t="shared" si="3"/>
        <v>486676</v>
      </c>
      <c r="X31" s="10">
        <f t="shared" si="4"/>
        <v>15870</v>
      </c>
      <c r="Y31" s="10">
        <f t="shared" si="5"/>
        <v>32.608963663710561</v>
      </c>
      <c r="Z31" s="108">
        <f t="shared" si="6"/>
        <v>0</v>
      </c>
      <c r="AA31" s="63">
        <f t="shared" si="7"/>
        <v>15870</v>
      </c>
      <c r="AB31" s="8">
        <f t="shared" si="8"/>
        <v>944.44444444444446</v>
      </c>
      <c r="AC31" s="68">
        <f t="shared" si="9"/>
        <v>0.92998669747251972</v>
      </c>
      <c r="AD31" s="68">
        <f t="shared" si="10"/>
        <v>0.62998669747251979</v>
      </c>
      <c r="AE31" s="8">
        <f t="shared" si="11"/>
        <v>12545.055555555555</v>
      </c>
      <c r="AF31" s="10">
        <f t="shared" si="12"/>
        <v>8498.2055555555562</v>
      </c>
      <c r="AG31" s="10">
        <f t="shared" si="13"/>
        <v>2023.425</v>
      </c>
      <c r="AH31" s="69">
        <f t="shared" si="14"/>
        <v>0.15</v>
      </c>
      <c r="AI31" s="10">
        <f t="shared" si="15"/>
        <v>2023.425</v>
      </c>
    </row>
    <row r="32" spans="1:35" x14ac:dyDescent="0.2">
      <c r="A32" s="59" t="s">
        <v>114</v>
      </c>
      <c r="B32" s="52" t="s">
        <v>156</v>
      </c>
      <c r="C32" s="106" t="s">
        <v>157</v>
      </c>
      <c r="D32" s="37" t="s">
        <v>55</v>
      </c>
      <c r="E32" s="38" t="s">
        <v>158</v>
      </c>
      <c r="F32" s="38" t="s">
        <v>118</v>
      </c>
      <c r="G32" s="37" t="s">
        <v>119</v>
      </c>
      <c r="H32" s="37" t="s">
        <v>159</v>
      </c>
      <c r="I32" s="37" t="s">
        <v>52</v>
      </c>
      <c r="J32" s="39">
        <v>0.65037691707824197</v>
      </c>
      <c r="K32" s="39">
        <v>0.31946971666233398</v>
      </c>
      <c r="L32" s="40">
        <v>2.16</v>
      </c>
      <c r="M32" s="75">
        <v>137.63</v>
      </c>
      <c r="N32" s="74">
        <v>20772</v>
      </c>
      <c r="O32" s="6">
        <f t="shared" si="0"/>
        <v>692.4</v>
      </c>
      <c r="P32" s="7">
        <v>16</v>
      </c>
      <c r="Q32" s="7">
        <f t="shared" si="1"/>
        <v>16</v>
      </c>
      <c r="R32" s="8">
        <v>529</v>
      </c>
      <c r="S32" s="21">
        <v>1</v>
      </c>
      <c r="T32" s="21">
        <v>30</v>
      </c>
      <c r="U32" s="107">
        <v>280</v>
      </c>
      <c r="V32" s="107">
        <f t="shared" si="2"/>
        <v>134400</v>
      </c>
      <c r="W32" s="9">
        <f t="shared" si="3"/>
        <v>332352</v>
      </c>
      <c r="X32" s="10">
        <f t="shared" si="4"/>
        <v>15870</v>
      </c>
      <c r="Y32" s="10">
        <f t="shared" si="5"/>
        <v>47.750577700751016</v>
      </c>
      <c r="Z32" s="108">
        <f t="shared" si="6"/>
        <v>0</v>
      </c>
      <c r="AA32" s="63">
        <f t="shared" si="7"/>
        <v>15870</v>
      </c>
      <c r="AB32" s="8">
        <f t="shared" si="8"/>
        <v>944.44444444444446</v>
      </c>
      <c r="AC32" s="68">
        <f t="shared" si="9"/>
        <v>0.92998669747251972</v>
      </c>
      <c r="AD32" s="68">
        <f t="shared" si="10"/>
        <v>0.62998669747251979</v>
      </c>
      <c r="AE32" s="8">
        <f t="shared" si="11"/>
        <v>12545.055555555555</v>
      </c>
      <c r="AF32" s="10">
        <f t="shared" si="12"/>
        <v>8498.2055555555562</v>
      </c>
      <c r="AG32" s="10">
        <f t="shared" si="13"/>
        <v>2023.425</v>
      </c>
      <c r="AH32" s="69">
        <f t="shared" si="14"/>
        <v>0.15</v>
      </c>
      <c r="AI32" s="10">
        <f t="shared" si="15"/>
        <v>2023.425</v>
      </c>
    </row>
    <row r="33" spans="1:35" x14ac:dyDescent="0.2">
      <c r="A33" s="59" t="s">
        <v>114</v>
      </c>
      <c r="B33" s="52" t="s">
        <v>160</v>
      </c>
      <c r="C33" s="106" t="s">
        <v>161</v>
      </c>
      <c r="D33" s="37" t="s">
        <v>55</v>
      </c>
      <c r="E33" s="38" t="s">
        <v>162</v>
      </c>
      <c r="F33" s="38" t="s">
        <v>118</v>
      </c>
      <c r="G33" s="37" t="s">
        <v>119</v>
      </c>
      <c r="H33" s="37" t="s">
        <v>163</v>
      </c>
      <c r="I33" s="37" t="s">
        <v>52</v>
      </c>
      <c r="J33" s="39">
        <v>0.54972785749628805</v>
      </c>
      <c r="K33" s="39">
        <v>0.40994557149925698</v>
      </c>
      <c r="L33" s="40">
        <v>2.15</v>
      </c>
      <c r="M33" s="75">
        <v>136.63999999999999</v>
      </c>
      <c r="N33" s="74">
        <v>27380</v>
      </c>
      <c r="O33" s="6">
        <f t="shared" si="0"/>
        <v>912.66666666666663</v>
      </c>
      <c r="P33" s="7">
        <v>16</v>
      </c>
      <c r="Q33" s="7">
        <f t="shared" si="1"/>
        <v>16</v>
      </c>
      <c r="R33" s="8">
        <v>529</v>
      </c>
      <c r="S33" s="21">
        <v>1</v>
      </c>
      <c r="T33" s="21">
        <v>30</v>
      </c>
      <c r="U33" s="107">
        <v>280</v>
      </c>
      <c r="V33" s="107">
        <f t="shared" si="2"/>
        <v>134400</v>
      </c>
      <c r="W33" s="9">
        <f t="shared" si="3"/>
        <v>438080</v>
      </c>
      <c r="X33" s="10">
        <f t="shared" si="4"/>
        <v>15870</v>
      </c>
      <c r="Y33" s="10">
        <f t="shared" si="5"/>
        <v>36.226260043827615</v>
      </c>
      <c r="Z33" s="108">
        <f t="shared" si="6"/>
        <v>0</v>
      </c>
      <c r="AA33" s="63">
        <f t="shared" si="7"/>
        <v>15870</v>
      </c>
      <c r="AB33" s="8">
        <f t="shared" si="8"/>
        <v>944.44444444444446</v>
      </c>
      <c r="AC33" s="68">
        <f t="shared" si="9"/>
        <v>0.92998669747251972</v>
      </c>
      <c r="AD33" s="68">
        <f t="shared" si="10"/>
        <v>0.62998669747251979</v>
      </c>
      <c r="AE33" s="8">
        <f t="shared" si="11"/>
        <v>12545.055555555555</v>
      </c>
      <c r="AF33" s="10">
        <f t="shared" si="12"/>
        <v>8498.2055555555562</v>
      </c>
      <c r="AG33" s="10">
        <f t="shared" si="13"/>
        <v>2023.425</v>
      </c>
      <c r="AH33" s="69">
        <f t="shared" si="14"/>
        <v>0.15</v>
      </c>
      <c r="AI33" s="10">
        <f t="shared" si="15"/>
        <v>2023.425</v>
      </c>
    </row>
    <row r="34" spans="1:35" x14ac:dyDescent="0.2">
      <c r="A34" s="59" t="s">
        <v>114</v>
      </c>
      <c r="B34" s="52" t="s">
        <v>164</v>
      </c>
      <c r="C34" s="106" t="s">
        <v>165</v>
      </c>
      <c r="D34" s="37" t="s">
        <v>47</v>
      </c>
      <c r="E34" s="38" t="s">
        <v>166</v>
      </c>
      <c r="F34" s="38" t="s">
        <v>118</v>
      </c>
      <c r="G34" s="37" t="s">
        <v>119</v>
      </c>
      <c r="H34" s="37" t="s">
        <v>167</v>
      </c>
      <c r="I34" s="37" t="s">
        <v>52</v>
      </c>
      <c r="J34" s="39">
        <v>0.69992546054733196</v>
      </c>
      <c r="K34" s="39">
        <v>0.25780002129698598</v>
      </c>
      <c r="L34" s="40">
        <v>2.0699999999999998</v>
      </c>
      <c r="M34" s="75">
        <v>160.71</v>
      </c>
      <c r="N34" s="74">
        <v>31329</v>
      </c>
      <c r="O34" s="6">
        <f t="shared" si="0"/>
        <v>1044.3</v>
      </c>
      <c r="P34" s="7">
        <v>16</v>
      </c>
      <c r="Q34" s="7">
        <f t="shared" si="1"/>
        <v>0</v>
      </c>
      <c r="R34" s="8">
        <v>529</v>
      </c>
      <c r="S34" s="21">
        <v>1</v>
      </c>
      <c r="T34" s="21"/>
      <c r="U34" s="107">
        <v>280</v>
      </c>
      <c r="V34" s="107">
        <f t="shared" si="2"/>
        <v>0</v>
      </c>
      <c r="W34" s="9">
        <f t="shared" si="3"/>
        <v>0</v>
      </c>
      <c r="X34" s="10">
        <f t="shared" si="4"/>
        <v>0</v>
      </c>
      <c r="Y34" s="10" t="str">
        <f t="shared" si="5"/>
        <v xml:space="preserve"> </v>
      </c>
      <c r="Z34" s="108">
        <f t="shared" si="6"/>
        <v>0</v>
      </c>
      <c r="AA34" s="63">
        <f t="shared" si="7"/>
        <v>0</v>
      </c>
      <c r="AB34" s="8">
        <f t="shared" si="8"/>
        <v>0</v>
      </c>
      <c r="AC34" s="68">
        <f t="shared" si="9"/>
        <v>0</v>
      </c>
      <c r="AD34" s="68">
        <f t="shared" si="10"/>
        <v>0</v>
      </c>
      <c r="AE34" s="8">
        <f t="shared" si="11"/>
        <v>0</v>
      </c>
      <c r="AF34" s="10">
        <f t="shared" si="12"/>
        <v>0</v>
      </c>
      <c r="AG34" s="10">
        <f t="shared" si="13"/>
        <v>0</v>
      </c>
      <c r="AH34" s="69">
        <f t="shared" si="14"/>
        <v>0.15</v>
      </c>
      <c r="AI34" s="10">
        <f t="shared" si="15"/>
        <v>0</v>
      </c>
    </row>
    <row r="35" spans="1:35" x14ac:dyDescent="0.2">
      <c r="A35" s="59" t="s">
        <v>114</v>
      </c>
      <c r="B35" s="52" t="s">
        <v>168</v>
      </c>
      <c r="C35" s="106" t="s">
        <v>169</v>
      </c>
      <c r="D35" s="37" t="s">
        <v>55</v>
      </c>
      <c r="E35" s="38" t="s">
        <v>170</v>
      </c>
      <c r="F35" s="38" t="s">
        <v>118</v>
      </c>
      <c r="G35" s="37" t="s">
        <v>119</v>
      </c>
      <c r="H35" s="37" t="s">
        <v>171</v>
      </c>
      <c r="I35" s="37" t="s">
        <v>121</v>
      </c>
      <c r="J35" s="39">
        <v>0.70921052631578896</v>
      </c>
      <c r="K35" s="39">
        <v>0.25</v>
      </c>
      <c r="L35" s="40">
        <v>2.25</v>
      </c>
      <c r="M35" s="75">
        <v>135.01</v>
      </c>
      <c r="N35" s="74">
        <v>24555</v>
      </c>
      <c r="O35" s="6">
        <f t="shared" si="0"/>
        <v>818.5</v>
      </c>
      <c r="P35" s="7">
        <v>16</v>
      </c>
      <c r="Q35" s="7">
        <f t="shared" si="1"/>
        <v>0</v>
      </c>
      <c r="R35" s="8">
        <v>529</v>
      </c>
      <c r="S35" s="21">
        <v>1</v>
      </c>
      <c r="T35" s="21"/>
      <c r="U35" s="107">
        <v>280</v>
      </c>
      <c r="V35" s="107">
        <f t="shared" si="2"/>
        <v>0</v>
      </c>
      <c r="W35" s="9">
        <f t="shared" si="3"/>
        <v>0</v>
      </c>
      <c r="X35" s="10">
        <f t="shared" si="4"/>
        <v>0</v>
      </c>
      <c r="Y35" s="10" t="str">
        <f t="shared" si="5"/>
        <v xml:space="preserve"> </v>
      </c>
      <c r="Z35" s="108">
        <f t="shared" si="6"/>
        <v>0</v>
      </c>
      <c r="AA35" s="63">
        <f t="shared" si="7"/>
        <v>0</v>
      </c>
      <c r="AB35" s="8">
        <f t="shared" si="8"/>
        <v>0</v>
      </c>
      <c r="AC35" s="68">
        <f t="shared" si="9"/>
        <v>0</v>
      </c>
      <c r="AD35" s="68">
        <f t="shared" si="10"/>
        <v>0</v>
      </c>
      <c r="AE35" s="8">
        <f t="shared" si="11"/>
        <v>0</v>
      </c>
      <c r="AF35" s="10">
        <f t="shared" si="12"/>
        <v>0</v>
      </c>
      <c r="AG35" s="10">
        <f t="shared" si="13"/>
        <v>0</v>
      </c>
      <c r="AH35" s="69">
        <f t="shared" si="14"/>
        <v>0.15</v>
      </c>
      <c r="AI35" s="10">
        <f t="shared" si="15"/>
        <v>0</v>
      </c>
    </row>
    <row r="36" spans="1:35" x14ac:dyDescent="0.2">
      <c r="A36" s="59" t="s">
        <v>114</v>
      </c>
      <c r="B36" s="52" t="s">
        <v>172</v>
      </c>
      <c r="C36" s="106" t="s">
        <v>173</v>
      </c>
      <c r="D36" s="37" t="s">
        <v>55</v>
      </c>
      <c r="E36" s="38" t="s">
        <v>174</v>
      </c>
      <c r="F36" s="38" t="s">
        <v>175</v>
      </c>
      <c r="G36" s="37" t="s">
        <v>119</v>
      </c>
      <c r="H36" s="37" t="s">
        <v>176</v>
      </c>
      <c r="I36" s="37" t="s">
        <v>52</v>
      </c>
      <c r="J36" s="39">
        <v>0.722787783868441</v>
      </c>
      <c r="K36" s="39">
        <v>0.242952231793265</v>
      </c>
      <c r="L36" s="40">
        <v>2.1</v>
      </c>
      <c r="M36" s="75">
        <v>130.93</v>
      </c>
      <c r="N36" s="74">
        <v>19901</v>
      </c>
      <c r="O36" s="6">
        <f t="shared" si="0"/>
        <v>663.36666666666667</v>
      </c>
      <c r="P36" s="7">
        <v>16</v>
      </c>
      <c r="Q36" s="7">
        <f t="shared" si="1"/>
        <v>0</v>
      </c>
      <c r="R36" s="8">
        <v>529</v>
      </c>
      <c r="S36" s="21">
        <v>1</v>
      </c>
      <c r="T36" s="21"/>
      <c r="U36" s="107">
        <v>280</v>
      </c>
      <c r="V36" s="107">
        <f t="shared" si="2"/>
        <v>0</v>
      </c>
      <c r="W36" s="9">
        <f t="shared" si="3"/>
        <v>0</v>
      </c>
      <c r="X36" s="10">
        <f t="shared" si="4"/>
        <v>0</v>
      </c>
      <c r="Y36" s="10" t="str">
        <f t="shared" si="5"/>
        <v xml:space="preserve"> </v>
      </c>
      <c r="Z36" s="108">
        <f t="shared" si="6"/>
        <v>0</v>
      </c>
      <c r="AA36" s="63">
        <f t="shared" si="7"/>
        <v>0</v>
      </c>
      <c r="AB36" s="8">
        <f t="shared" si="8"/>
        <v>0</v>
      </c>
      <c r="AC36" s="68">
        <f t="shared" si="9"/>
        <v>0</v>
      </c>
      <c r="AD36" s="68">
        <f t="shared" si="10"/>
        <v>0</v>
      </c>
      <c r="AE36" s="8">
        <f t="shared" si="11"/>
        <v>0</v>
      </c>
      <c r="AF36" s="10">
        <f t="shared" si="12"/>
        <v>0</v>
      </c>
      <c r="AG36" s="10">
        <f t="shared" si="13"/>
        <v>0</v>
      </c>
      <c r="AH36" s="69">
        <f t="shared" si="14"/>
        <v>0.15</v>
      </c>
      <c r="AI36" s="10">
        <f t="shared" si="15"/>
        <v>0</v>
      </c>
    </row>
    <row r="37" spans="1:35" ht="16" thickBot="1" x14ac:dyDescent="0.25">
      <c r="A37" s="60" t="s">
        <v>114</v>
      </c>
      <c r="B37" s="55" t="s">
        <v>177</v>
      </c>
      <c r="C37" s="112" t="s">
        <v>178</v>
      </c>
      <c r="D37" s="41" t="s">
        <v>55</v>
      </c>
      <c r="E37" s="42" t="s">
        <v>179</v>
      </c>
      <c r="F37" s="42" t="s">
        <v>150</v>
      </c>
      <c r="G37" s="41" t="s">
        <v>119</v>
      </c>
      <c r="H37" s="41" t="s">
        <v>180</v>
      </c>
      <c r="I37" s="41" t="s">
        <v>52</v>
      </c>
      <c r="J37" s="43">
        <v>0.71018766756032103</v>
      </c>
      <c r="K37" s="43">
        <v>0.26032171581769398</v>
      </c>
      <c r="L37" s="44">
        <v>1.71</v>
      </c>
      <c r="M37" s="79">
        <v>126.59</v>
      </c>
      <c r="N37" s="78">
        <v>28936</v>
      </c>
      <c r="O37" s="27">
        <f t="shared" si="0"/>
        <v>964.5333333333333</v>
      </c>
      <c r="P37" s="28">
        <v>11</v>
      </c>
      <c r="Q37" s="28">
        <f t="shared" si="1"/>
        <v>0</v>
      </c>
      <c r="R37" s="8">
        <v>529</v>
      </c>
      <c r="S37" s="86">
        <v>1</v>
      </c>
      <c r="T37" s="21"/>
      <c r="U37" s="109">
        <v>280</v>
      </c>
      <c r="V37" s="109">
        <f t="shared" si="2"/>
        <v>0</v>
      </c>
      <c r="W37" s="30">
        <f t="shared" si="3"/>
        <v>0</v>
      </c>
      <c r="X37" s="31">
        <f t="shared" si="4"/>
        <v>0</v>
      </c>
      <c r="Y37" s="10" t="str">
        <f t="shared" si="5"/>
        <v xml:space="preserve"> </v>
      </c>
      <c r="Z37" s="110">
        <f t="shared" si="6"/>
        <v>0</v>
      </c>
      <c r="AA37" s="64">
        <f t="shared" si="7"/>
        <v>0</v>
      </c>
      <c r="AB37" s="29">
        <f t="shared" si="8"/>
        <v>0</v>
      </c>
      <c r="AC37" s="72">
        <f t="shared" si="9"/>
        <v>0</v>
      </c>
      <c r="AD37" s="72">
        <f t="shared" si="10"/>
        <v>0</v>
      </c>
      <c r="AE37" s="29">
        <f t="shared" si="11"/>
        <v>0</v>
      </c>
      <c r="AF37" s="31">
        <f t="shared" si="12"/>
        <v>0</v>
      </c>
      <c r="AG37" s="31">
        <f t="shared" si="13"/>
        <v>0</v>
      </c>
      <c r="AH37" s="73">
        <f t="shared" si="14"/>
        <v>0.15</v>
      </c>
      <c r="AI37" s="31">
        <f t="shared" si="15"/>
        <v>0</v>
      </c>
    </row>
    <row r="38" spans="1:35" x14ac:dyDescent="0.2">
      <c r="A38" s="61" t="s">
        <v>181</v>
      </c>
      <c r="B38" s="57" t="s">
        <v>182</v>
      </c>
      <c r="C38" s="58" t="s">
        <v>183</v>
      </c>
      <c r="D38" s="45" t="s">
        <v>47</v>
      </c>
      <c r="E38" s="46" t="s">
        <v>184</v>
      </c>
      <c r="F38" s="46" t="s">
        <v>185</v>
      </c>
      <c r="G38" s="45" t="s">
        <v>186</v>
      </c>
      <c r="H38" s="45" t="s">
        <v>187</v>
      </c>
      <c r="I38" s="45" t="s">
        <v>52</v>
      </c>
      <c r="J38" s="47">
        <v>0.56398128369443601</v>
      </c>
      <c r="K38" s="47">
        <v>0.397518055131726</v>
      </c>
      <c r="L38" s="48">
        <v>2.42</v>
      </c>
      <c r="M38" s="77">
        <v>177.42</v>
      </c>
      <c r="N38" s="76">
        <v>61956</v>
      </c>
      <c r="O38" s="22">
        <f t="shared" si="0"/>
        <v>2065.1999999999998</v>
      </c>
      <c r="P38" s="23">
        <v>16</v>
      </c>
      <c r="Q38" s="23">
        <f t="shared" si="1"/>
        <v>0</v>
      </c>
      <c r="R38" s="8">
        <v>529</v>
      </c>
      <c r="S38" s="85">
        <v>1</v>
      </c>
      <c r="T38" s="21"/>
      <c r="U38" s="111">
        <v>280</v>
      </c>
      <c r="V38" s="111">
        <f t="shared" si="2"/>
        <v>0</v>
      </c>
      <c r="W38" s="25">
        <f>IF(AND(S38&gt;0,T38&gt;0),T38*P38*O38,0)</f>
        <v>0</v>
      </c>
      <c r="X38" s="26">
        <f t="shared" si="4"/>
        <v>0</v>
      </c>
      <c r="Y38" s="10" t="str">
        <f t="shared" si="5"/>
        <v xml:space="preserve"> </v>
      </c>
      <c r="Z38" s="113">
        <f t="shared" si="6"/>
        <v>0</v>
      </c>
      <c r="AA38" s="65">
        <f t="shared" si="7"/>
        <v>0</v>
      </c>
      <c r="AB38" s="24">
        <f t="shared" si="8"/>
        <v>0</v>
      </c>
      <c r="AC38" s="70">
        <f t="shared" si="9"/>
        <v>0</v>
      </c>
      <c r="AD38" s="70">
        <f t="shared" si="10"/>
        <v>0</v>
      </c>
      <c r="AE38" s="24">
        <f t="shared" si="11"/>
        <v>0</v>
      </c>
      <c r="AF38" s="26">
        <f t="shared" si="12"/>
        <v>0</v>
      </c>
      <c r="AG38" s="26">
        <f t="shared" si="13"/>
        <v>0</v>
      </c>
      <c r="AH38" s="71">
        <f t="shared" si="14"/>
        <v>0.15</v>
      </c>
      <c r="AI38" s="26">
        <f t="shared" si="15"/>
        <v>0</v>
      </c>
    </row>
    <row r="39" spans="1:35" x14ac:dyDescent="0.2">
      <c r="A39" s="62" t="s">
        <v>181</v>
      </c>
      <c r="B39" s="52" t="s">
        <v>188</v>
      </c>
      <c r="C39" s="53" t="s">
        <v>189</v>
      </c>
      <c r="D39" s="37" t="s">
        <v>47</v>
      </c>
      <c r="E39" s="38" t="s">
        <v>190</v>
      </c>
      <c r="F39" s="38" t="s">
        <v>191</v>
      </c>
      <c r="G39" s="37" t="s">
        <v>192</v>
      </c>
      <c r="H39" s="37" t="s">
        <v>193</v>
      </c>
      <c r="I39" s="37" t="s">
        <v>52</v>
      </c>
      <c r="J39" s="39">
        <v>0.61662326619546104</v>
      </c>
      <c r="K39" s="39">
        <v>0.33969283095073599</v>
      </c>
      <c r="L39" s="40">
        <v>1.91</v>
      </c>
      <c r="M39" s="75">
        <v>217.45</v>
      </c>
      <c r="N39" s="74">
        <v>71100</v>
      </c>
      <c r="O39" s="6">
        <f t="shared" si="0"/>
        <v>2370</v>
      </c>
      <c r="P39" s="7">
        <v>16</v>
      </c>
      <c r="Q39" s="7">
        <f t="shared" si="1"/>
        <v>0</v>
      </c>
      <c r="R39" s="8">
        <v>529</v>
      </c>
      <c r="S39" s="21">
        <v>1</v>
      </c>
      <c r="T39" s="21"/>
      <c r="U39" s="107">
        <v>280</v>
      </c>
      <c r="V39" s="107">
        <f t="shared" si="2"/>
        <v>0</v>
      </c>
      <c r="W39" s="9">
        <f t="shared" si="3"/>
        <v>0</v>
      </c>
      <c r="X39" s="10">
        <f t="shared" si="4"/>
        <v>0</v>
      </c>
      <c r="Y39" s="10" t="str">
        <f t="shared" ref="Y39:Y65" si="16">IFERROR((AA39/(W39/1000))," ")</f>
        <v xml:space="preserve"> </v>
      </c>
      <c r="Z39" s="108">
        <f t="shared" si="6"/>
        <v>0</v>
      </c>
      <c r="AA39" s="63">
        <f t="shared" si="7"/>
        <v>0</v>
      </c>
      <c r="AB39" s="8">
        <f t="shared" si="8"/>
        <v>0</v>
      </c>
      <c r="AC39" s="68">
        <f t="shared" si="9"/>
        <v>0</v>
      </c>
      <c r="AD39" s="68">
        <f t="shared" si="10"/>
        <v>0</v>
      </c>
      <c r="AE39" s="8">
        <f t="shared" si="11"/>
        <v>0</v>
      </c>
      <c r="AF39" s="10">
        <f t="shared" si="12"/>
        <v>0</v>
      </c>
      <c r="AG39" s="10">
        <f t="shared" si="13"/>
        <v>0</v>
      </c>
      <c r="AH39" s="69">
        <f t="shared" si="14"/>
        <v>0.15</v>
      </c>
      <c r="AI39" s="10">
        <f t="shared" si="15"/>
        <v>0</v>
      </c>
    </row>
    <row r="40" spans="1:35" x14ac:dyDescent="0.2">
      <c r="A40" s="62" t="s">
        <v>181</v>
      </c>
      <c r="B40" s="52" t="s">
        <v>194</v>
      </c>
      <c r="C40" s="53" t="s">
        <v>195</v>
      </c>
      <c r="D40" s="37" t="s">
        <v>47</v>
      </c>
      <c r="E40" s="38" t="s">
        <v>196</v>
      </c>
      <c r="F40" s="38" t="s">
        <v>191</v>
      </c>
      <c r="G40" s="37" t="s">
        <v>192</v>
      </c>
      <c r="H40" s="37" t="s">
        <v>197</v>
      </c>
      <c r="I40" s="37" t="s">
        <v>52</v>
      </c>
      <c r="J40" s="39">
        <v>0.57137297633872897</v>
      </c>
      <c r="K40" s="39">
        <v>0.39118929016189202</v>
      </c>
      <c r="L40" s="40">
        <v>2.35</v>
      </c>
      <c r="M40" s="75">
        <v>207.79</v>
      </c>
      <c r="N40" s="74">
        <v>64840</v>
      </c>
      <c r="O40" s="6">
        <f t="shared" si="0"/>
        <v>2161.3333333333335</v>
      </c>
      <c r="P40" s="7">
        <v>16</v>
      </c>
      <c r="Q40" s="7">
        <f t="shared" si="1"/>
        <v>0</v>
      </c>
      <c r="R40" s="8">
        <v>529</v>
      </c>
      <c r="S40" s="21">
        <v>1</v>
      </c>
      <c r="T40" s="21"/>
      <c r="U40" s="107">
        <v>280</v>
      </c>
      <c r="V40" s="107">
        <f t="shared" si="2"/>
        <v>0</v>
      </c>
      <c r="W40" s="9">
        <f t="shared" si="3"/>
        <v>0</v>
      </c>
      <c r="X40" s="10">
        <f t="shared" si="4"/>
        <v>0</v>
      </c>
      <c r="Y40" s="10" t="str">
        <f t="shared" si="16"/>
        <v xml:space="preserve"> </v>
      </c>
      <c r="Z40" s="108">
        <f t="shared" si="6"/>
        <v>0</v>
      </c>
      <c r="AA40" s="63">
        <f t="shared" si="7"/>
        <v>0</v>
      </c>
      <c r="AB40" s="8">
        <f t="shared" si="8"/>
        <v>0</v>
      </c>
      <c r="AC40" s="68">
        <f t="shared" si="9"/>
        <v>0</v>
      </c>
      <c r="AD40" s="68">
        <f t="shared" si="10"/>
        <v>0</v>
      </c>
      <c r="AE40" s="8">
        <f t="shared" si="11"/>
        <v>0</v>
      </c>
      <c r="AF40" s="10">
        <f t="shared" si="12"/>
        <v>0</v>
      </c>
      <c r="AG40" s="10">
        <f t="shared" si="13"/>
        <v>0</v>
      </c>
      <c r="AH40" s="69">
        <f t="shared" si="14"/>
        <v>0.15</v>
      </c>
      <c r="AI40" s="10">
        <f t="shared" si="15"/>
        <v>0</v>
      </c>
    </row>
    <row r="41" spans="1:35" x14ac:dyDescent="0.2">
      <c r="A41" s="62" t="s">
        <v>181</v>
      </c>
      <c r="B41" s="52" t="s">
        <v>198</v>
      </c>
      <c r="C41" s="53" t="s">
        <v>199</v>
      </c>
      <c r="D41" s="37" t="s">
        <v>47</v>
      </c>
      <c r="E41" s="38" t="s">
        <v>200</v>
      </c>
      <c r="F41" s="38" t="s">
        <v>191</v>
      </c>
      <c r="G41" s="37" t="s">
        <v>192</v>
      </c>
      <c r="H41" s="37" t="s">
        <v>201</v>
      </c>
      <c r="I41" s="37" t="s">
        <v>52</v>
      </c>
      <c r="J41" s="39">
        <v>0.59799858485797996</v>
      </c>
      <c r="K41" s="39">
        <v>0.363994743758212</v>
      </c>
      <c r="L41" s="40">
        <v>1.9</v>
      </c>
      <c r="M41" s="75">
        <v>169.78</v>
      </c>
      <c r="N41" s="74">
        <v>80314</v>
      </c>
      <c r="O41" s="6">
        <f t="shared" si="0"/>
        <v>2677.1333333333332</v>
      </c>
      <c r="P41" s="7">
        <v>16</v>
      </c>
      <c r="Q41" s="7">
        <f t="shared" si="1"/>
        <v>0</v>
      </c>
      <c r="R41" s="8">
        <v>529</v>
      </c>
      <c r="S41" s="21">
        <v>1</v>
      </c>
      <c r="T41" s="21"/>
      <c r="U41" s="107">
        <v>280</v>
      </c>
      <c r="V41" s="107">
        <f t="shared" si="2"/>
        <v>0</v>
      </c>
      <c r="W41" s="9">
        <f t="shared" si="3"/>
        <v>0</v>
      </c>
      <c r="X41" s="10">
        <f t="shared" si="4"/>
        <v>0</v>
      </c>
      <c r="Y41" s="10" t="str">
        <f t="shared" si="16"/>
        <v xml:space="preserve"> </v>
      </c>
      <c r="Z41" s="108">
        <f t="shared" si="6"/>
        <v>0</v>
      </c>
      <c r="AA41" s="63">
        <f t="shared" si="7"/>
        <v>0</v>
      </c>
      <c r="AB41" s="8">
        <f t="shared" si="8"/>
        <v>0</v>
      </c>
      <c r="AC41" s="68">
        <f t="shared" si="9"/>
        <v>0</v>
      </c>
      <c r="AD41" s="68">
        <f t="shared" si="10"/>
        <v>0</v>
      </c>
      <c r="AE41" s="8">
        <f t="shared" si="11"/>
        <v>0</v>
      </c>
      <c r="AF41" s="10">
        <f t="shared" si="12"/>
        <v>0</v>
      </c>
      <c r="AG41" s="10">
        <f t="shared" si="13"/>
        <v>0</v>
      </c>
      <c r="AH41" s="69">
        <f t="shared" si="14"/>
        <v>0.15</v>
      </c>
      <c r="AI41" s="10">
        <f t="shared" si="15"/>
        <v>0</v>
      </c>
    </row>
    <row r="42" spans="1:35" x14ac:dyDescent="0.2">
      <c r="A42" s="62" t="s">
        <v>181</v>
      </c>
      <c r="B42" s="52" t="s">
        <v>202</v>
      </c>
      <c r="C42" s="53" t="s">
        <v>203</v>
      </c>
      <c r="D42" s="37" t="s">
        <v>47</v>
      </c>
      <c r="E42" s="38" t="s">
        <v>204</v>
      </c>
      <c r="F42" s="38" t="s">
        <v>205</v>
      </c>
      <c r="G42" s="37" t="s">
        <v>206</v>
      </c>
      <c r="H42" s="37" t="s">
        <v>207</v>
      </c>
      <c r="I42" s="37" t="s">
        <v>52</v>
      </c>
      <c r="J42" s="39">
        <v>0.53618452666987004</v>
      </c>
      <c r="K42" s="39">
        <v>0.42066314271984601</v>
      </c>
      <c r="L42" s="40">
        <v>2.19</v>
      </c>
      <c r="M42" s="75">
        <v>198.05</v>
      </c>
      <c r="N42" s="74">
        <v>70226</v>
      </c>
      <c r="O42" s="6">
        <f t="shared" si="0"/>
        <v>2340.8666666666668</v>
      </c>
      <c r="P42" s="7">
        <v>18</v>
      </c>
      <c r="Q42" s="7">
        <f t="shared" si="1"/>
        <v>0</v>
      </c>
      <c r="R42" s="8">
        <v>529</v>
      </c>
      <c r="S42" s="21">
        <v>1</v>
      </c>
      <c r="T42" s="21"/>
      <c r="U42" s="107">
        <v>280</v>
      </c>
      <c r="V42" s="107">
        <f t="shared" si="2"/>
        <v>0</v>
      </c>
      <c r="W42" s="9">
        <f t="shared" si="3"/>
        <v>0</v>
      </c>
      <c r="X42" s="10">
        <f t="shared" si="4"/>
        <v>0</v>
      </c>
      <c r="Y42" s="10" t="str">
        <f t="shared" si="16"/>
        <v xml:space="preserve"> </v>
      </c>
      <c r="Z42" s="108">
        <f t="shared" si="6"/>
        <v>0</v>
      </c>
      <c r="AA42" s="63">
        <f t="shared" si="7"/>
        <v>0</v>
      </c>
      <c r="AB42" s="8">
        <f t="shared" si="8"/>
        <v>0</v>
      </c>
      <c r="AC42" s="68">
        <f t="shared" si="9"/>
        <v>0</v>
      </c>
      <c r="AD42" s="68">
        <f t="shared" si="10"/>
        <v>0</v>
      </c>
      <c r="AE42" s="8">
        <f t="shared" si="11"/>
        <v>0</v>
      </c>
      <c r="AF42" s="10">
        <f t="shared" si="12"/>
        <v>0</v>
      </c>
      <c r="AG42" s="10">
        <f t="shared" si="13"/>
        <v>0</v>
      </c>
      <c r="AH42" s="69">
        <f t="shared" si="14"/>
        <v>0.15</v>
      </c>
      <c r="AI42" s="10">
        <f t="shared" si="15"/>
        <v>0</v>
      </c>
    </row>
    <row r="43" spans="1:35" x14ac:dyDescent="0.2">
      <c r="A43" s="62" t="s">
        <v>181</v>
      </c>
      <c r="B43" s="52" t="s">
        <v>208</v>
      </c>
      <c r="C43" s="53" t="s">
        <v>209</v>
      </c>
      <c r="D43" s="37" t="s">
        <v>47</v>
      </c>
      <c r="E43" s="38" t="s">
        <v>210</v>
      </c>
      <c r="F43" s="38" t="s">
        <v>211</v>
      </c>
      <c r="G43" s="37" t="s">
        <v>186</v>
      </c>
      <c r="H43" s="37" t="s">
        <v>212</v>
      </c>
      <c r="I43" s="37" t="s">
        <v>52</v>
      </c>
      <c r="J43" s="39">
        <v>0.56371529347924298</v>
      </c>
      <c r="K43" s="39">
        <v>0.38636158089897799</v>
      </c>
      <c r="L43" s="40">
        <v>1.73</v>
      </c>
      <c r="M43" s="75">
        <v>298.19</v>
      </c>
      <c r="N43" s="74">
        <v>113553</v>
      </c>
      <c r="O43" s="6">
        <f t="shared" si="0"/>
        <v>3785.1</v>
      </c>
      <c r="P43" s="7">
        <v>16</v>
      </c>
      <c r="Q43" s="7">
        <f t="shared" si="1"/>
        <v>0</v>
      </c>
      <c r="R43" s="8">
        <v>529</v>
      </c>
      <c r="S43" s="21">
        <v>1</v>
      </c>
      <c r="T43" s="21"/>
      <c r="U43" s="107">
        <v>280</v>
      </c>
      <c r="V43" s="107">
        <f t="shared" si="2"/>
        <v>0</v>
      </c>
      <c r="W43" s="9">
        <f t="shared" si="3"/>
        <v>0</v>
      </c>
      <c r="X43" s="10">
        <f t="shared" si="4"/>
        <v>0</v>
      </c>
      <c r="Y43" s="10" t="str">
        <f t="shared" si="16"/>
        <v xml:space="preserve"> </v>
      </c>
      <c r="Z43" s="108">
        <f t="shared" si="6"/>
        <v>0</v>
      </c>
      <c r="AA43" s="63">
        <f t="shared" si="7"/>
        <v>0</v>
      </c>
      <c r="AB43" s="8">
        <f t="shared" si="8"/>
        <v>0</v>
      </c>
      <c r="AC43" s="68">
        <f t="shared" si="9"/>
        <v>0</v>
      </c>
      <c r="AD43" s="68">
        <f t="shared" si="10"/>
        <v>0</v>
      </c>
      <c r="AE43" s="8">
        <f t="shared" si="11"/>
        <v>0</v>
      </c>
      <c r="AF43" s="10">
        <f t="shared" si="12"/>
        <v>0</v>
      </c>
      <c r="AG43" s="10">
        <f t="shared" si="13"/>
        <v>0</v>
      </c>
      <c r="AH43" s="69">
        <f t="shared" si="14"/>
        <v>0.15</v>
      </c>
      <c r="AI43" s="10">
        <f t="shared" si="15"/>
        <v>0</v>
      </c>
    </row>
    <row r="44" spans="1:35" x14ac:dyDescent="0.2">
      <c r="A44" s="62" t="s">
        <v>181</v>
      </c>
      <c r="B44" s="52" t="s">
        <v>213</v>
      </c>
      <c r="C44" s="53" t="s">
        <v>214</v>
      </c>
      <c r="D44" s="37" t="s">
        <v>47</v>
      </c>
      <c r="E44" s="38" t="s">
        <v>215</v>
      </c>
      <c r="F44" s="38" t="s">
        <v>216</v>
      </c>
      <c r="G44" s="37" t="s">
        <v>186</v>
      </c>
      <c r="H44" s="37" t="s">
        <v>217</v>
      </c>
      <c r="I44" s="37" t="s">
        <v>52</v>
      </c>
      <c r="J44" s="39">
        <v>0.54889198822253205</v>
      </c>
      <c r="K44" s="39">
        <v>0.40988687432201998</v>
      </c>
      <c r="L44" s="40">
        <v>2.0699999999999998</v>
      </c>
      <c r="M44" s="75">
        <v>192.66</v>
      </c>
      <c r="N44" s="74">
        <v>69059</v>
      </c>
      <c r="O44" s="6">
        <f t="shared" si="0"/>
        <v>2301.9666666666667</v>
      </c>
      <c r="P44" s="7">
        <v>16</v>
      </c>
      <c r="Q44" s="7">
        <f t="shared" si="1"/>
        <v>0</v>
      </c>
      <c r="R44" s="8">
        <v>529</v>
      </c>
      <c r="S44" s="21">
        <v>1</v>
      </c>
      <c r="T44" s="21"/>
      <c r="U44" s="107">
        <v>280</v>
      </c>
      <c r="V44" s="107">
        <f t="shared" si="2"/>
        <v>0</v>
      </c>
      <c r="W44" s="9">
        <f t="shared" si="3"/>
        <v>0</v>
      </c>
      <c r="X44" s="10">
        <f t="shared" si="4"/>
        <v>0</v>
      </c>
      <c r="Y44" s="10" t="str">
        <f t="shared" si="16"/>
        <v xml:space="preserve"> </v>
      </c>
      <c r="Z44" s="108">
        <f t="shared" si="6"/>
        <v>0</v>
      </c>
      <c r="AA44" s="63">
        <f t="shared" si="7"/>
        <v>0</v>
      </c>
      <c r="AB44" s="8">
        <f t="shared" si="8"/>
        <v>0</v>
      </c>
      <c r="AC44" s="68">
        <f t="shared" si="9"/>
        <v>0</v>
      </c>
      <c r="AD44" s="68">
        <f t="shared" si="10"/>
        <v>0</v>
      </c>
      <c r="AE44" s="8">
        <f t="shared" si="11"/>
        <v>0</v>
      </c>
      <c r="AF44" s="10">
        <f t="shared" si="12"/>
        <v>0</v>
      </c>
      <c r="AG44" s="10">
        <f t="shared" si="13"/>
        <v>0</v>
      </c>
      <c r="AH44" s="69">
        <f t="shared" si="14"/>
        <v>0.15</v>
      </c>
      <c r="AI44" s="10">
        <f t="shared" si="15"/>
        <v>0</v>
      </c>
    </row>
    <row r="45" spans="1:35" x14ac:dyDescent="0.2">
      <c r="A45" s="62" t="s">
        <v>181</v>
      </c>
      <c r="B45" s="52" t="s">
        <v>218</v>
      </c>
      <c r="C45" s="53" t="s">
        <v>219</v>
      </c>
      <c r="D45" s="37" t="s">
        <v>55</v>
      </c>
      <c r="E45" s="38" t="s">
        <v>220</v>
      </c>
      <c r="F45" s="38" t="s">
        <v>221</v>
      </c>
      <c r="G45" s="37" t="s">
        <v>186</v>
      </c>
      <c r="H45" s="37" t="s">
        <v>222</v>
      </c>
      <c r="I45" s="37" t="s">
        <v>52</v>
      </c>
      <c r="J45" s="39">
        <v>0.55277126280706002</v>
      </c>
      <c r="K45" s="39">
        <v>0.40982594741389899</v>
      </c>
      <c r="L45" s="40">
        <v>2.09</v>
      </c>
      <c r="M45" s="75">
        <v>205.06</v>
      </c>
      <c r="N45" s="74">
        <v>72186</v>
      </c>
      <c r="O45" s="6">
        <f t="shared" si="0"/>
        <v>2406.1999999999998</v>
      </c>
      <c r="P45" s="7">
        <v>16</v>
      </c>
      <c r="Q45" s="7">
        <f t="shared" si="1"/>
        <v>0</v>
      </c>
      <c r="R45" s="8">
        <v>529</v>
      </c>
      <c r="S45" s="21">
        <v>1</v>
      </c>
      <c r="T45" s="21"/>
      <c r="U45" s="107">
        <v>280</v>
      </c>
      <c r="V45" s="107">
        <f t="shared" si="2"/>
        <v>0</v>
      </c>
      <c r="W45" s="9">
        <f t="shared" si="3"/>
        <v>0</v>
      </c>
      <c r="X45" s="10">
        <f t="shared" si="4"/>
        <v>0</v>
      </c>
      <c r="Y45" s="10" t="str">
        <f t="shared" si="16"/>
        <v xml:space="preserve"> </v>
      </c>
      <c r="Z45" s="108">
        <f t="shared" si="6"/>
        <v>0</v>
      </c>
      <c r="AA45" s="63">
        <f t="shared" si="7"/>
        <v>0</v>
      </c>
      <c r="AB45" s="8">
        <f t="shared" si="8"/>
        <v>0</v>
      </c>
      <c r="AC45" s="68">
        <f t="shared" si="9"/>
        <v>0</v>
      </c>
      <c r="AD45" s="68">
        <f t="shared" si="10"/>
        <v>0</v>
      </c>
      <c r="AE45" s="8">
        <f t="shared" si="11"/>
        <v>0</v>
      </c>
      <c r="AF45" s="10">
        <f t="shared" si="12"/>
        <v>0</v>
      </c>
      <c r="AG45" s="10">
        <f t="shared" si="13"/>
        <v>0</v>
      </c>
      <c r="AH45" s="69">
        <f t="shared" si="14"/>
        <v>0.15</v>
      </c>
      <c r="AI45" s="10">
        <f t="shared" si="15"/>
        <v>0</v>
      </c>
    </row>
    <row r="46" spans="1:35" x14ac:dyDescent="0.2">
      <c r="A46" s="62" t="s">
        <v>181</v>
      </c>
      <c r="B46" s="52" t="s">
        <v>223</v>
      </c>
      <c r="C46" s="53" t="s">
        <v>224</v>
      </c>
      <c r="D46" s="37" t="s">
        <v>47</v>
      </c>
      <c r="E46" s="38" t="s">
        <v>225</v>
      </c>
      <c r="F46" s="38" t="s">
        <v>191</v>
      </c>
      <c r="G46" s="37" t="s">
        <v>192</v>
      </c>
      <c r="H46" s="37" t="s">
        <v>226</v>
      </c>
      <c r="I46" s="37" t="s">
        <v>52</v>
      </c>
      <c r="J46" s="39">
        <v>0.57287008370599701</v>
      </c>
      <c r="K46" s="39">
        <v>0.38413026029125102</v>
      </c>
      <c r="L46" s="40">
        <v>2.41</v>
      </c>
      <c r="M46" s="75">
        <v>154.49</v>
      </c>
      <c r="N46" s="74">
        <v>55621</v>
      </c>
      <c r="O46" s="6">
        <f t="shared" si="0"/>
        <v>1854.0333333333333</v>
      </c>
      <c r="P46" s="7">
        <v>16</v>
      </c>
      <c r="Q46" s="7">
        <f t="shared" si="1"/>
        <v>0</v>
      </c>
      <c r="R46" s="8">
        <v>529</v>
      </c>
      <c r="S46" s="21">
        <v>1</v>
      </c>
      <c r="T46" s="21"/>
      <c r="U46" s="107">
        <v>280</v>
      </c>
      <c r="V46" s="107">
        <f t="shared" si="2"/>
        <v>0</v>
      </c>
      <c r="W46" s="9">
        <f t="shared" si="3"/>
        <v>0</v>
      </c>
      <c r="X46" s="10">
        <f t="shared" si="4"/>
        <v>0</v>
      </c>
      <c r="Y46" s="10" t="str">
        <f t="shared" si="16"/>
        <v xml:space="preserve"> </v>
      </c>
      <c r="Z46" s="108">
        <f t="shared" si="6"/>
        <v>0</v>
      </c>
      <c r="AA46" s="63">
        <f t="shared" si="7"/>
        <v>0</v>
      </c>
      <c r="AB46" s="8">
        <f t="shared" si="8"/>
        <v>0</v>
      </c>
      <c r="AC46" s="68">
        <f t="shared" si="9"/>
        <v>0</v>
      </c>
      <c r="AD46" s="68">
        <f t="shared" si="10"/>
        <v>0</v>
      </c>
      <c r="AE46" s="8">
        <f t="shared" si="11"/>
        <v>0</v>
      </c>
      <c r="AF46" s="10">
        <f t="shared" si="12"/>
        <v>0</v>
      </c>
      <c r="AG46" s="10">
        <f t="shared" si="13"/>
        <v>0</v>
      </c>
      <c r="AH46" s="69">
        <f t="shared" si="14"/>
        <v>0.15</v>
      </c>
      <c r="AI46" s="10">
        <f t="shared" si="15"/>
        <v>0</v>
      </c>
    </row>
    <row r="47" spans="1:35" x14ac:dyDescent="0.2">
      <c r="A47" s="62" t="s">
        <v>181</v>
      </c>
      <c r="B47" s="52" t="s">
        <v>227</v>
      </c>
      <c r="C47" s="53" t="s">
        <v>228</v>
      </c>
      <c r="D47" s="37" t="s">
        <v>47</v>
      </c>
      <c r="E47" s="38" t="s">
        <v>229</v>
      </c>
      <c r="F47" s="38" t="s">
        <v>191</v>
      </c>
      <c r="G47" s="37" t="s">
        <v>192</v>
      </c>
      <c r="H47" s="37" t="s">
        <v>230</v>
      </c>
      <c r="I47" s="37" t="s">
        <v>52</v>
      </c>
      <c r="J47" s="39">
        <v>0.53076352853965902</v>
      </c>
      <c r="K47" s="39">
        <v>0.42846553002223797</v>
      </c>
      <c r="L47" s="40">
        <v>2.02</v>
      </c>
      <c r="M47" s="75">
        <v>242.34</v>
      </c>
      <c r="N47" s="74">
        <v>83765</v>
      </c>
      <c r="O47" s="6">
        <f t="shared" si="0"/>
        <v>2792.1666666666665</v>
      </c>
      <c r="P47" s="7">
        <v>16</v>
      </c>
      <c r="Q47" s="7">
        <f t="shared" si="1"/>
        <v>0</v>
      </c>
      <c r="R47" s="8">
        <v>529</v>
      </c>
      <c r="S47" s="21">
        <v>1</v>
      </c>
      <c r="T47" s="21"/>
      <c r="U47" s="107">
        <v>280</v>
      </c>
      <c r="V47" s="107">
        <f t="shared" si="2"/>
        <v>0</v>
      </c>
      <c r="W47" s="9">
        <f t="shared" si="3"/>
        <v>0</v>
      </c>
      <c r="X47" s="10">
        <f t="shared" si="4"/>
        <v>0</v>
      </c>
      <c r="Y47" s="10" t="str">
        <f t="shared" si="16"/>
        <v xml:space="preserve"> </v>
      </c>
      <c r="Z47" s="108">
        <f t="shared" si="6"/>
        <v>0</v>
      </c>
      <c r="AA47" s="63">
        <f t="shared" si="7"/>
        <v>0</v>
      </c>
      <c r="AB47" s="8">
        <f t="shared" si="8"/>
        <v>0</v>
      </c>
      <c r="AC47" s="68">
        <f t="shared" si="9"/>
        <v>0</v>
      </c>
      <c r="AD47" s="68">
        <f t="shared" si="10"/>
        <v>0</v>
      </c>
      <c r="AE47" s="8">
        <f t="shared" si="11"/>
        <v>0</v>
      </c>
      <c r="AF47" s="10">
        <f t="shared" si="12"/>
        <v>0</v>
      </c>
      <c r="AG47" s="10">
        <f t="shared" si="13"/>
        <v>0</v>
      </c>
      <c r="AH47" s="69">
        <f t="shared" si="14"/>
        <v>0.15</v>
      </c>
      <c r="AI47" s="10">
        <f t="shared" si="15"/>
        <v>0</v>
      </c>
    </row>
    <row r="48" spans="1:35" x14ac:dyDescent="0.2">
      <c r="A48" s="62" t="s">
        <v>181</v>
      </c>
      <c r="B48" s="52" t="s">
        <v>231</v>
      </c>
      <c r="C48" s="53" t="s">
        <v>232</v>
      </c>
      <c r="D48" s="37" t="s">
        <v>47</v>
      </c>
      <c r="E48" s="38" t="s">
        <v>233</v>
      </c>
      <c r="F48" s="38" t="s">
        <v>234</v>
      </c>
      <c r="G48" s="37" t="s">
        <v>186</v>
      </c>
      <c r="H48" s="37" t="s">
        <v>235</v>
      </c>
      <c r="I48" s="37" t="s">
        <v>52</v>
      </c>
      <c r="J48" s="39">
        <v>0.54596711041503498</v>
      </c>
      <c r="K48" s="39">
        <v>0.40751761942051601</v>
      </c>
      <c r="L48" s="40">
        <v>2.08</v>
      </c>
      <c r="M48" s="75">
        <v>237.04</v>
      </c>
      <c r="N48" s="74">
        <v>63439</v>
      </c>
      <c r="O48" s="6">
        <f t="shared" si="0"/>
        <v>2114.6333333333332</v>
      </c>
      <c r="P48" s="7">
        <v>16</v>
      </c>
      <c r="Q48" s="7">
        <f t="shared" si="1"/>
        <v>0</v>
      </c>
      <c r="R48" s="8">
        <v>529</v>
      </c>
      <c r="S48" s="21">
        <v>1</v>
      </c>
      <c r="T48" s="21"/>
      <c r="U48" s="107">
        <v>280</v>
      </c>
      <c r="V48" s="107">
        <f t="shared" si="2"/>
        <v>0</v>
      </c>
      <c r="W48" s="9">
        <f t="shared" si="3"/>
        <v>0</v>
      </c>
      <c r="X48" s="10">
        <f t="shared" si="4"/>
        <v>0</v>
      </c>
      <c r="Y48" s="10" t="str">
        <f t="shared" si="16"/>
        <v xml:space="preserve"> </v>
      </c>
      <c r="Z48" s="108">
        <f t="shared" si="6"/>
        <v>0</v>
      </c>
      <c r="AA48" s="63">
        <f t="shared" si="7"/>
        <v>0</v>
      </c>
      <c r="AB48" s="8">
        <f t="shared" si="8"/>
        <v>0</v>
      </c>
      <c r="AC48" s="68">
        <f t="shared" si="9"/>
        <v>0</v>
      </c>
      <c r="AD48" s="68">
        <f t="shared" si="10"/>
        <v>0</v>
      </c>
      <c r="AE48" s="8">
        <f t="shared" si="11"/>
        <v>0</v>
      </c>
      <c r="AF48" s="10">
        <f t="shared" si="12"/>
        <v>0</v>
      </c>
      <c r="AG48" s="10">
        <f t="shared" si="13"/>
        <v>0</v>
      </c>
      <c r="AH48" s="69">
        <f t="shared" si="14"/>
        <v>0.15</v>
      </c>
      <c r="AI48" s="10">
        <f t="shared" si="15"/>
        <v>0</v>
      </c>
    </row>
    <row r="49" spans="1:35" x14ac:dyDescent="0.2">
      <c r="A49" s="62" t="s">
        <v>181</v>
      </c>
      <c r="B49" s="52" t="s">
        <v>236</v>
      </c>
      <c r="C49" s="53" t="s">
        <v>237</v>
      </c>
      <c r="D49" s="37" t="s">
        <v>47</v>
      </c>
      <c r="E49" s="38" t="s">
        <v>238</v>
      </c>
      <c r="F49" s="38" t="s">
        <v>185</v>
      </c>
      <c r="G49" s="37" t="s">
        <v>186</v>
      </c>
      <c r="H49" s="37" t="s">
        <v>239</v>
      </c>
      <c r="I49" s="37" t="s">
        <v>52</v>
      </c>
      <c r="J49" s="39">
        <v>0.64453486221564604</v>
      </c>
      <c r="K49" s="39">
        <v>0.319215831329757</v>
      </c>
      <c r="L49" s="40">
        <v>2</v>
      </c>
      <c r="M49" s="75">
        <v>101.45</v>
      </c>
      <c r="N49" s="74">
        <v>61783</v>
      </c>
      <c r="O49" s="6">
        <f t="shared" si="0"/>
        <v>2059.4333333333334</v>
      </c>
      <c r="P49" s="7">
        <v>16</v>
      </c>
      <c r="Q49" s="7">
        <f t="shared" si="1"/>
        <v>0</v>
      </c>
      <c r="R49" s="8">
        <v>529</v>
      </c>
      <c r="S49" s="21">
        <v>1</v>
      </c>
      <c r="T49" s="21"/>
      <c r="U49" s="107">
        <v>280</v>
      </c>
      <c r="V49" s="107">
        <f t="shared" si="2"/>
        <v>0</v>
      </c>
      <c r="W49" s="9">
        <f t="shared" si="3"/>
        <v>0</v>
      </c>
      <c r="X49" s="10">
        <f t="shared" si="4"/>
        <v>0</v>
      </c>
      <c r="Y49" s="10" t="str">
        <f t="shared" si="16"/>
        <v xml:space="preserve"> </v>
      </c>
      <c r="Z49" s="108">
        <f t="shared" si="6"/>
        <v>0</v>
      </c>
      <c r="AA49" s="63">
        <f t="shared" si="7"/>
        <v>0</v>
      </c>
      <c r="AB49" s="8">
        <f t="shared" si="8"/>
        <v>0</v>
      </c>
      <c r="AC49" s="68">
        <f t="shared" si="9"/>
        <v>0</v>
      </c>
      <c r="AD49" s="68">
        <f t="shared" si="10"/>
        <v>0</v>
      </c>
      <c r="AE49" s="8">
        <f t="shared" si="11"/>
        <v>0</v>
      </c>
      <c r="AF49" s="10">
        <f t="shared" si="12"/>
        <v>0</v>
      </c>
      <c r="AG49" s="10">
        <f t="shared" si="13"/>
        <v>0</v>
      </c>
      <c r="AH49" s="69">
        <f t="shared" si="14"/>
        <v>0.15</v>
      </c>
      <c r="AI49" s="10">
        <f t="shared" si="15"/>
        <v>0</v>
      </c>
    </row>
    <row r="50" spans="1:35" x14ac:dyDescent="0.2">
      <c r="A50" s="62" t="s">
        <v>181</v>
      </c>
      <c r="B50" s="52" t="s">
        <v>240</v>
      </c>
      <c r="C50" s="53" t="s">
        <v>241</v>
      </c>
      <c r="D50" s="37" t="s">
        <v>55</v>
      </c>
      <c r="E50" s="38" t="s">
        <v>242</v>
      </c>
      <c r="F50" s="38" t="s">
        <v>185</v>
      </c>
      <c r="G50" s="37" t="s">
        <v>186</v>
      </c>
      <c r="H50" s="37" t="s">
        <v>243</v>
      </c>
      <c r="I50" s="37" t="s">
        <v>121</v>
      </c>
      <c r="J50" s="39">
        <v>0.51797256818540105</v>
      </c>
      <c r="K50" s="39">
        <v>0.44387513794734301</v>
      </c>
      <c r="L50" s="40">
        <v>1.89</v>
      </c>
      <c r="M50" s="75">
        <v>282.45</v>
      </c>
      <c r="N50" s="74">
        <v>37799</v>
      </c>
      <c r="O50" s="6">
        <f t="shared" si="0"/>
        <v>1259.9666666666667</v>
      </c>
      <c r="P50" s="7">
        <v>16</v>
      </c>
      <c r="Q50" s="7">
        <f t="shared" si="1"/>
        <v>0</v>
      </c>
      <c r="R50" s="8">
        <v>529</v>
      </c>
      <c r="S50" s="21">
        <v>1</v>
      </c>
      <c r="T50" s="21"/>
      <c r="U50" s="107">
        <v>280</v>
      </c>
      <c r="V50" s="107">
        <f t="shared" si="2"/>
        <v>0</v>
      </c>
      <c r="W50" s="9">
        <f t="shared" si="3"/>
        <v>0</v>
      </c>
      <c r="X50" s="10">
        <f t="shared" si="4"/>
        <v>0</v>
      </c>
      <c r="Y50" s="10" t="str">
        <f t="shared" si="16"/>
        <v xml:space="preserve"> </v>
      </c>
      <c r="Z50" s="108">
        <f t="shared" si="6"/>
        <v>0</v>
      </c>
      <c r="AA50" s="63">
        <f t="shared" si="7"/>
        <v>0</v>
      </c>
      <c r="AB50" s="8">
        <f t="shared" si="8"/>
        <v>0</v>
      </c>
      <c r="AC50" s="68">
        <f t="shared" si="9"/>
        <v>0</v>
      </c>
      <c r="AD50" s="68">
        <f t="shared" si="10"/>
        <v>0</v>
      </c>
      <c r="AE50" s="8">
        <f t="shared" si="11"/>
        <v>0</v>
      </c>
      <c r="AF50" s="10">
        <f t="shared" si="12"/>
        <v>0</v>
      </c>
      <c r="AG50" s="10">
        <f t="shared" si="13"/>
        <v>0</v>
      </c>
      <c r="AH50" s="69">
        <f t="shared" si="14"/>
        <v>0.15</v>
      </c>
      <c r="AI50" s="10">
        <f t="shared" si="15"/>
        <v>0</v>
      </c>
    </row>
    <row r="51" spans="1:35" x14ac:dyDescent="0.2">
      <c r="A51" s="62" t="s">
        <v>181</v>
      </c>
      <c r="B51" s="52" t="s">
        <v>244</v>
      </c>
      <c r="C51" s="53" t="s">
        <v>245</v>
      </c>
      <c r="D51" s="37" t="s">
        <v>55</v>
      </c>
      <c r="E51" s="38" t="s">
        <v>246</v>
      </c>
      <c r="F51" s="38" t="s">
        <v>191</v>
      </c>
      <c r="G51" s="37" t="s">
        <v>192</v>
      </c>
      <c r="H51" s="37" t="s">
        <v>247</v>
      </c>
      <c r="I51" s="37" t="s">
        <v>52</v>
      </c>
      <c r="J51" s="39">
        <v>0.53813585322451896</v>
      </c>
      <c r="K51" s="39">
        <v>0.41952506596306</v>
      </c>
      <c r="L51" s="40">
        <v>1.71</v>
      </c>
      <c r="M51" s="75">
        <v>410.84</v>
      </c>
      <c r="N51" s="74">
        <v>70262</v>
      </c>
      <c r="O51" s="6">
        <f t="shared" si="0"/>
        <v>2342.0666666666666</v>
      </c>
      <c r="P51" s="7">
        <v>16</v>
      </c>
      <c r="Q51" s="7">
        <f t="shared" si="1"/>
        <v>0</v>
      </c>
      <c r="R51" s="8">
        <v>529</v>
      </c>
      <c r="S51" s="21">
        <v>1</v>
      </c>
      <c r="T51" s="21"/>
      <c r="U51" s="107">
        <v>280</v>
      </c>
      <c r="V51" s="107">
        <f t="shared" si="2"/>
        <v>0</v>
      </c>
      <c r="W51" s="9">
        <f t="shared" si="3"/>
        <v>0</v>
      </c>
      <c r="X51" s="10">
        <f t="shared" si="4"/>
        <v>0</v>
      </c>
      <c r="Y51" s="10" t="str">
        <f t="shared" si="16"/>
        <v xml:space="preserve"> </v>
      </c>
      <c r="Z51" s="108">
        <f t="shared" si="6"/>
        <v>0</v>
      </c>
      <c r="AA51" s="63">
        <f t="shared" si="7"/>
        <v>0</v>
      </c>
      <c r="AB51" s="8">
        <f t="shared" si="8"/>
        <v>0</v>
      </c>
      <c r="AC51" s="68">
        <f t="shared" si="9"/>
        <v>0</v>
      </c>
      <c r="AD51" s="68">
        <f t="shared" si="10"/>
        <v>0</v>
      </c>
      <c r="AE51" s="8">
        <f t="shared" si="11"/>
        <v>0</v>
      </c>
      <c r="AF51" s="10">
        <f t="shared" si="12"/>
        <v>0</v>
      </c>
      <c r="AG51" s="10">
        <f t="shared" si="13"/>
        <v>0</v>
      </c>
      <c r="AH51" s="69">
        <f t="shared" si="14"/>
        <v>0.15</v>
      </c>
      <c r="AI51" s="10">
        <f t="shared" si="15"/>
        <v>0</v>
      </c>
    </row>
    <row r="52" spans="1:35" x14ac:dyDescent="0.2">
      <c r="A52" s="62" t="s">
        <v>181</v>
      </c>
      <c r="B52" s="52" t="s">
        <v>248</v>
      </c>
      <c r="C52" s="53" t="s">
        <v>249</v>
      </c>
      <c r="D52" s="37" t="s">
        <v>55</v>
      </c>
      <c r="E52" s="38" t="s">
        <v>250</v>
      </c>
      <c r="F52" s="38" t="s">
        <v>205</v>
      </c>
      <c r="G52" s="37" t="s">
        <v>206</v>
      </c>
      <c r="H52" s="80" t="s">
        <v>251</v>
      </c>
      <c r="I52" s="37" t="s">
        <v>52</v>
      </c>
      <c r="J52" s="39">
        <v>0.60573030208657697</v>
      </c>
      <c r="K52" s="39">
        <v>0.34848956711304802</v>
      </c>
      <c r="L52" s="40">
        <v>1.78</v>
      </c>
      <c r="M52" s="75">
        <v>140.30000000000001</v>
      </c>
      <c r="N52" s="74">
        <v>70712</v>
      </c>
      <c r="O52" s="6">
        <f t="shared" si="0"/>
        <v>2357.0666666666666</v>
      </c>
      <c r="P52" s="7">
        <v>15</v>
      </c>
      <c r="Q52" s="7">
        <f t="shared" si="1"/>
        <v>0</v>
      </c>
      <c r="R52" s="8">
        <v>529</v>
      </c>
      <c r="S52" s="21">
        <v>1</v>
      </c>
      <c r="T52" s="21"/>
      <c r="U52" s="107">
        <v>280</v>
      </c>
      <c r="V52" s="107">
        <f t="shared" si="2"/>
        <v>0</v>
      </c>
      <c r="W52" s="9">
        <f>IF(AND(S52&gt;0,T52&gt;0),T52*P52*O52,0)</f>
        <v>0</v>
      </c>
      <c r="X52" s="10">
        <f t="shared" si="4"/>
        <v>0</v>
      </c>
      <c r="Y52" s="10" t="str">
        <f t="shared" si="16"/>
        <v xml:space="preserve"> </v>
      </c>
      <c r="Z52" s="108">
        <f t="shared" si="6"/>
        <v>0</v>
      </c>
      <c r="AA52" s="63">
        <f t="shared" si="7"/>
        <v>0</v>
      </c>
      <c r="AB52" s="8">
        <f t="shared" si="8"/>
        <v>0</v>
      </c>
      <c r="AC52" s="68">
        <f t="shared" si="9"/>
        <v>0</v>
      </c>
      <c r="AD52" s="68">
        <f t="shared" si="10"/>
        <v>0</v>
      </c>
      <c r="AE52" s="8">
        <f t="shared" si="11"/>
        <v>0</v>
      </c>
      <c r="AF52" s="10">
        <f t="shared" si="12"/>
        <v>0</v>
      </c>
      <c r="AG52" s="10">
        <f t="shared" si="13"/>
        <v>0</v>
      </c>
      <c r="AH52" s="69">
        <f t="shared" si="14"/>
        <v>0.15</v>
      </c>
      <c r="AI52" s="10">
        <f t="shared" si="15"/>
        <v>0</v>
      </c>
    </row>
    <row r="53" spans="1:35" x14ac:dyDescent="0.2">
      <c r="A53" s="87" t="s">
        <v>252</v>
      </c>
      <c r="B53" s="52" t="s">
        <v>253</v>
      </c>
      <c r="C53" s="53" t="s">
        <v>254</v>
      </c>
      <c r="D53" s="37"/>
      <c r="E53" s="38"/>
      <c r="F53" s="38"/>
      <c r="G53" s="37"/>
      <c r="H53" s="80"/>
      <c r="I53" s="37"/>
      <c r="J53" s="39"/>
      <c r="K53" s="39"/>
      <c r="L53" s="40"/>
      <c r="M53" s="75"/>
      <c r="N53" s="74"/>
      <c r="O53" s="6"/>
      <c r="P53" s="7">
        <v>16</v>
      </c>
      <c r="Q53" s="7">
        <f t="shared" ref="Q53:Q65" si="17">IF(AND(S53&gt;0,T53&gt;0),P53,0)</f>
        <v>0</v>
      </c>
      <c r="R53" s="8">
        <v>529</v>
      </c>
      <c r="S53" s="21">
        <v>1</v>
      </c>
      <c r="T53" s="21"/>
      <c r="U53" s="107">
        <v>280</v>
      </c>
      <c r="V53" s="107">
        <f>U53*T53*Q53</f>
        <v>0</v>
      </c>
      <c r="W53" s="9">
        <f>IF(AND(S53&gt;0,T53&gt;0),T53*P53*O53,0)</f>
        <v>0</v>
      </c>
      <c r="X53" s="10">
        <f t="shared" ref="X53:X65" si="18">R53*S53*T53</f>
        <v>0</v>
      </c>
      <c r="Y53" s="10" t="str">
        <f t="shared" si="16"/>
        <v xml:space="preserve"> </v>
      </c>
      <c r="Z53" s="88">
        <f t="shared" ref="Z53:Z65" si="19">$Z$5</f>
        <v>0</v>
      </c>
      <c r="AA53" s="63">
        <f t="shared" ref="AA53:AA65" si="20">X53*(1-Z53)</f>
        <v>0</v>
      </c>
      <c r="AB53" s="8"/>
      <c r="AC53" s="68"/>
      <c r="AD53" s="68"/>
      <c r="AE53" s="8"/>
      <c r="AF53" s="10"/>
      <c r="AG53" s="10"/>
      <c r="AH53" s="69"/>
      <c r="AI53" s="10"/>
    </row>
    <row r="54" spans="1:35" x14ac:dyDescent="0.2">
      <c r="A54" s="87" t="s">
        <v>252</v>
      </c>
      <c r="B54" s="52" t="s">
        <v>255</v>
      </c>
      <c r="C54" s="53" t="s">
        <v>256</v>
      </c>
      <c r="D54" s="37"/>
      <c r="E54" s="38"/>
      <c r="F54" s="38"/>
      <c r="G54" s="37"/>
      <c r="H54" s="80"/>
      <c r="I54" s="37"/>
      <c r="J54" s="39"/>
      <c r="K54" s="39"/>
      <c r="L54" s="40"/>
      <c r="M54" s="75"/>
      <c r="N54" s="74"/>
      <c r="O54" s="6"/>
      <c r="P54" s="7">
        <v>16</v>
      </c>
      <c r="Q54" s="7">
        <f t="shared" si="17"/>
        <v>0</v>
      </c>
      <c r="R54" s="8">
        <v>529</v>
      </c>
      <c r="S54" s="21">
        <v>1</v>
      </c>
      <c r="T54" s="21"/>
      <c r="U54" s="107">
        <v>280</v>
      </c>
      <c r="V54" s="107">
        <f t="shared" si="2"/>
        <v>0</v>
      </c>
      <c r="W54" s="9">
        <f t="shared" ref="W54:W64" si="21">IF(AND(S54&gt;0,T54&gt;0),T54*P54*O54,0)</f>
        <v>0</v>
      </c>
      <c r="X54" s="10">
        <f t="shared" si="18"/>
        <v>0</v>
      </c>
      <c r="Y54" s="10" t="str">
        <f t="shared" si="16"/>
        <v xml:space="preserve"> </v>
      </c>
      <c r="Z54" s="88">
        <f t="shared" si="19"/>
        <v>0</v>
      </c>
      <c r="AA54" s="63">
        <f t="shared" si="20"/>
        <v>0</v>
      </c>
      <c r="AB54" s="8"/>
      <c r="AC54" s="68"/>
      <c r="AD54" s="68"/>
      <c r="AE54" s="8"/>
      <c r="AF54" s="10"/>
      <c r="AG54" s="10"/>
      <c r="AH54" s="69"/>
      <c r="AI54" s="10"/>
    </row>
    <row r="55" spans="1:35" x14ac:dyDescent="0.2">
      <c r="A55" s="87" t="s">
        <v>252</v>
      </c>
      <c r="B55" s="52" t="s">
        <v>257</v>
      </c>
      <c r="C55" s="53" t="s">
        <v>258</v>
      </c>
      <c r="D55" s="37"/>
      <c r="E55" s="38"/>
      <c r="F55" s="38"/>
      <c r="G55" s="37"/>
      <c r="H55" s="80"/>
      <c r="I55" s="37"/>
      <c r="J55" s="39"/>
      <c r="K55" s="39"/>
      <c r="L55" s="40"/>
      <c r="M55" s="75"/>
      <c r="N55" s="74"/>
      <c r="O55" s="6"/>
      <c r="P55" s="7">
        <v>16</v>
      </c>
      <c r="Q55" s="7">
        <f t="shared" si="17"/>
        <v>0</v>
      </c>
      <c r="R55" s="8">
        <v>529</v>
      </c>
      <c r="S55" s="21">
        <v>1</v>
      </c>
      <c r="T55" s="21"/>
      <c r="U55" s="107">
        <v>280</v>
      </c>
      <c r="V55" s="107">
        <f t="shared" si="2"/>
        <v>0</v>
      </c>
      <c r="W55" s="9">
        <f t="shared" si="21"/>
        <v>0</v>
      </c>
      <c r="X55" s="10">
        <f t="shared" si="18"/>
        <v>0</v>
      </c>
      <c r="Y55" s="10" t="str">
        <f t="shared" si="16"/>
        <v xml:space="preserve"> </v>
      </c>
      <c r="Z55" s="88">
        <f t="shared" si="19"/>
        <v>0</v>
      </c>
      <c r="AA55" s="63">
        <f t="shared" si="20"/>
        <v>0</v>
      </c>
      <c r="AB55" s="8"/>
      <c r="AC55" s="68"/>
      <c r="AD55" s="68"/>
      <c r="AE55" s="8"/>
      <c r="AF55" s="10"/>
      <c r="AG55" s="10"/>
      <c r="AH55" s="69"/>
      <c r="AI55" s="10"/>
    </row>
    <row r="56" spans="1:35" x14ac:dyDescent="0.2">
      <c r="A56" s="87" t="s">
        <v>252</v>
      </c>
      <c r="B56" s="52" t="s">
        <v>259</v>
      </c>
      <c r="C56" s="53" t="s">
        <v>260</v>
      </c>
      <c r="D56" s="37"/>
      <c r="E56" s="38"/>
      <c r="F56" s="38"/>
      <c r="G56" s="37"/>
      <c r="H56" s="80"/>
      <c r="I56" s="37"/>
      <c r="J56" s="39"/>
      <c r="K56" s="39"/>
      <c r="L56" s="40"/>
      <c r="M56" s="75"/>
      <c r="N56" s="74"/>
      <c r="O56" s="6"/>
      <c r="P56" s="7">
        <v>16</v>
      </c>
      <c r="Q56" s="7">
        <f t="shared" si="17"/>
        <v>0</v>
      </c>
      <c r="R56" s="8">
        <v>529</v>
      </c>
      <c r="S56" s="21">
        <v>1</v>
      </c>
      <c r="T56" s="21"/>
      <c r="U56" s="107">
        <v>280</v>
      </c>
      <c r="V56" s="107">
        <f t="shared" si="2"/>
        <v>0</v>
      </c>
      <c r="W56" s="9">
        <f t="shared" si="21"/>
        <v>0</v>
      </c>
      <c r="X56" s="10">
        <f t="shared" si="18"/>
        <v>0</v>
      </c>
      <c r="Y56" s="10" t="str">
        <f t="shared" si="16"/>
        <v xml:space="preserve"> </v>
      </c>
      <c r="Z56" s="88">
        <f t="shared" si="19"/>
        <v>0</v>
      </c>
      <c r="AA56" s="63">
        <f t="shared" si="20"/>
        <v>0</v>
      </c>
      <c r="AB56" s="8"/>
      <c r="AC56" s="68"/>
      <c r="AD56" s="68"/>
      <c r="AE56" s="8"/>
      <c r="AF56" s="10"/>
      <c r="AG56" s="10"/>
      <c r="AH56" s="69"/>
      <c r="AI56" s="10"/>
    </row>
    <row r="57" spans="1:35" x14ac:dyDescent="0.2">
      <c r="A57" s="87" t="s">
        <v>252</v>
      </c>
      <c r="B57" s="52" t="s">
        <v>261</v>
      </c>
      <c r="C57" s="53" t="s">
        <v>262</v>
      </c>
      <c r="D57" s="37"/>
      <c r="E57" s="38"/>
      <c r="F57" s="38"/>
      <c r="G57" s="37"/>
      <c r="H57" s="80"/>
      <c r="I57" s="37"/>
      <c r="J57" s="39"/>
      <c r="K57" s="39"/>
      <c r="L57" s="40"/>
      <c r="M57" s="75"/>
      <c r="N57" s="74"/>
      <c r="O57" s="6"/>
      <c r="P57" s="7">
        <v>16</v>
      </c>
      <c r="Q57" s="7">
        <f t="shared" si="17"/>
        <v>0</v>
      </c>
      <c r="R57" s="8">
        <v>529</v>
      </c>
      <c r="S57" s="21">
        <v>1</v>
      </c>
      <c r="T57" s="21"/>
      <c r="U57" s="107">
        <v>280</v>
      </c>
      <c r="V57" s="107">
        <f t="shared" si="2"/>
        <v>0</v>
      </c>
      <c r="W57" s="9">
        <f t="shared" si="21"/>
        <v>0</v>
      </c>
      <c r="X57" s="10">
        <f t="shared" si="18"/>
        <v>0</v>
      </c>
      <c r="Y57" s="10" t="str">
        <f t="shared" si="16"/>
        <v xml:space="preserve"> </v>
      </c>
      <c r="Z57" s="88">
        <f t="shared" si="19"/>
        <v>0</v>
      </c>
      <c r="AA57" s="63">
        <f t="shared" si="20"/>
        <v>0</v>
      </c>
      <c r="AB57" s="8"/>
      <c r="AC57" s="68"/>
      <c r="AD57" s="68"/>
      <c r="AE57" s="8"/>
      <c r="AF57" s="10"/>
      <c r="AG57" s="10"/>
      <c r="AH57" s="69"/>
      <c r="AI57" s="10"/>
    </row>
    <row r="58" spans="1:35" x14ac:dyDescent="0.2">
      <c r="A58" s="87" t="s">
        <v>252</v>
      </c>
      <c r="B58" s="52" t="s">
        <v>263</v>
      </c>
      <c r="C58" s="53" t="s">
        <v>264</v>
      </c>
      <c r="D58" s="37"/>
      <c r="E58" s="38"/>
      <c r="F58" s="38"/>
      <c r="G58" s="37"/>
      <c r="H58" s="80"/>
      <c r="I58" s="37"/>
      <c r="J58" s="39"/>
      <c r="K58" s="39"/>
      <c r="L58" s="40"/>
      <c r="M58" s="75"/>
      <c r="N58" s="74"/>
      <c r="O58" s="6"/>
      <c r="P58" s="7">
        <v>16</v>
      </c>
      <c r="Q58" s="7">
        <f t="shared" si="17"/>
        <v>0</v>
      </c>
      <c r="R58" s="8">
        <v>529</v>
      </c>
      <c r="S58" s="21">
        <v>1</v>
      </c>
      <c r="T58" s="21"/>
      <c r="U58" s="107">
        <v>280</v>
      </c>
      <c r="V58" s="107">
        <f t="shared" si="2"/>
        <v>0</v>
      </c>
      <c r="W58" s="9">
        <f t="shared" si="21"/>
        <v>0</v>
      </c>
      <c r="X58" s="10">
        <f t="shared" si="18"/>
        <v>0</v>
      </c>
      <c r="Y58" s="10" t="str">
        <f t="shared" si="16"/>
        <v xml:space="preserve"> </v>
      </c>
      <c r="Z58" s="88">
        <f t="shared" si="19"/>
        <v>0</v>
      </c>
      <c r="AA58" s="63">
        <f t="shared" si="20"/>
        <v>0</v>
      </c>
      <c r="AB58" s="8"/>
      <c r="AC58" s="68"/>
      <c r="AD58" s="68"/>
      <c r="AE58" s="8"/>
      <c r="AF58" s="10"/>
      <c r="AG58" s="10"/>
      <c r="AH58" s="69"/>
      <c r="AI58" s="10"/>
    </row>
    <row r="59" spans="1:35" x14ac:dyDescent="0.2">
      <c r="A59" s="87" t="s">
        <v>252</v>
      </c>
      <c r="B59" s="52" t="s">
        <v>265</v>
      </c>
      <c r="C59" s="53" t="s">
        <v>266</v>
      </c>
      <c r="D59" s="37"/>
      <c r="E59" s="38"/>
      <c r="F59" s="38"/>
      <c r="G59" s="37"/>
      <c r="H59" s="80"/>
      <c r="I59" s="37"/>
      <c r="J59" s="39"/>
      <c r="K59" s="39"/>
      <c r="L59" s="40"/>
      <c r="M59" s="75"/>
      <c r="N59" s="74"/>
      <c r="O59" s="6"/>
      <c r="P59" s="7">
        <v>16</v>
      </c>
      <c r="Q59" s="7">
        <f t="shared" si="17"/>
        <v>0</v>
      </c>
      <c r="R59" s="8">
        <v>529</v>
      </c>
      <c r="S59" s="21">
        <v>1</v>
      </c>
      <c r="T59" s="21"/>
      <c r="U59" s="107">
        <v>280</v>
      </c>
      <c r="V59" s="107">
        <f t="shared" si="2"/>
        <v>0</v>
      </c>
      <c r="W59" s="9">
        <f t="shared" si="21"/>
        <v>0</v>
      </c>
      <c r="X59" s="10">
        <f t="shared" si="18"/>
        <v>0</v>
      </c>
      <c r="Y59" s="10" t="str">
        <f t="shared" si="16"/>
        <v xml:space="preserve"> </v>
      </c>
      <c r="Z59" s="88">
        <f t="shared" si="19"/>
        <v>0</v>
      </c>
      <c r="AA59" s="63">
        <f t="shared" si="20"/>
        <v>0</v>
      </c>
      <c r="AB59" s="8"/>
      <c r="AC59" s="68"/>
      <c r="AD59" s="68"/>
      <c r="AE59" s="8"/>
      <c r="AF59" s="10"/>
      <c r="AG59" s="10"/>
      <c r="AH59" s="69"/>
      <c r="AI59" s="10"/>
    </row>
    <row r="60" spans="1:35" x14ac:dyDescent="0.2">
      <c r="A60" s="87" t="s">
        <v>252</v>
      </c>
      <c r="B60" s="52" t="s">
        <v>267</v>
      </c>
      <c r="C60" s="53" t="s">
        <v>268</v>
      </c>
      <c r="D60" s="37"/>
      <c r="E60" s="38"/>
      <c r="F60" s="38"/>
      <c r="G60" s="37"/>
      <c r="H60" s="80"/>
      <c r="I60" s="37"/>
      <c r="J60" s="39"/>
      <c r="K60" s="39"/>
      <c r="L60" s="40"/>
      <c r="M60" s="75"/>
      <c r="N60" s="74"/>
      <c r="O60" s="6"/>
      <c r="P60" s="7">
        <v>16</v>
      </c>
      <c r="Q60" s="7">
        <f t="shared" si="17"/>
        <v>0</v>
      </c>
      <c r="R60" s="8">
        <v>529</v>
      </c>
      <c r="S60" s="21">
        <v>1</v>
      </c>
      <c r="T60" s="21"/>
      <c r="U60" s="107">
        <v>280</v>
      </c>
      <c r="V60" s="107">
        <f t="shared" si="2"/>
        <v>0</v>
      </c>
      <c r="W60" s="9">
        <f t="shared" si="21"/>
        <v>0</v>
      </c>
      <c r="X60" s="10">
        <f t="shared" si="18"/>
        <v>0</v>
      </c>
      <c r="Y60" s="10" t="str">
        <f t="shared" si="16"/>
        <v xml:space="preserve"> </v>
      </c>
      <c r="Z60" s="88">
        <f t="shared" si="19"/>
        <v>0</v>
      </c>
      <c r="AA60" s="63">
        <f t="shared" si="20"/>
        <v>0</v>
      </c>
      <c r="AB60" s="8"/>
      <c r="AC60" s="68"/>
      <c r="AD60" s="68"/>
      <c r="AE60" s="8"/>
      <c r="AF60" s="10"/>
      <c r="AG60" s="10"/>
      <c r="AH60" s="69"/>
      <c r="AI60" s="10"/>
    </row>
    <row r="61" spans="1:35" x14ac:dyDescent="0.2">
      <c r="A61" s="87" t="s">
        <v>252</v>
      </c>
      <c r="B61" s="52" t="s">
        <v>269</v>
      </c>
      <c r="C61" s="53" t="s">
        <v>270</v>
      </c>
      <c r="D61" s="37"/>
      <c r="E61" s="38"/>
      <c r="F61" s="38"/>
      <c r="G61" s="37"/>
      <c r="H61" s="80"/>
      <c r="I61" s="37"/>
      <c r="J61" s="39"/>
      <c r="K61" s="39"/>
      <c r="L61" s="40"/>
      <c r="M61" s="75"/>
      <c r="N61" s="74"/>
      <c r="O61" s="6"/>
      <c r="P61" s="7">
        <v>16</v>
      </c>
      <c r="Q61" s="7">
        <f t="shared" si="17"/>
        <v>0</v>
      </c>
      <c r="R61" s="8">
        <v>529</v>
      </c>
      <c r="S61" s="21">
        <v>1</v>
      </c>
      <c r="T61" s="21"/>
      <c r="U61" s="107">
        <v>280</v>
      </c>
      <c r="V61" s="107">
        <f t="shared" si="2"/>
        <v>0</v>
      </c>
      <c r="W61" s="9">
        <f t="shared" si="21"/>
        <v>0</v>
      </c>
      <c r="X61" s="10">
        <f t="shared" si="18"/>
        <v>0</v>
      </c>
      <c r="Y61" s="10" t="str">
        <f t="shared" si="16"/>
        <v xml:space="preserve"> </v>
      </c>
      <c r="Z61" s="88">
        <f t="shared" si="19"/>
        <v>0</v>
      </c>
      <c r="AA61" s="63">
        <f t="shared" si="20"/>
        <v>0</v>
      </c>
      <c r="AB61" s="8"/>
      <c r="AC61" s="68"/>
      <c r="AD61" s="68"/>
      <c r="AE61" s="8"/>
      <c r="AF61" s="10"/>
      <c r="AG61" s="10"/>
      <c r="AH61" s="69"/>
      <c r="AI61" s="10"/>
    </row>
    <row r="62" spans="1:35" x14ac:dyDescent="0.2">
      <c r="A62" s="87" t="s">
        <v>252</v>
      </c>
      <c r="B62" s="52" t="s">
        <v>271</v>
      </c>
      <c r="C62" s="53" t="s">
        <v>272</v>
      </c>
      <c r="D62" s="37"/>
      <c r="E62" s="38"/>
      <c r="F62" s="38"/>
      <c r="G62" s="37"/>
      <c r="H62" s="80"/>
      <c r="I62" s="37"/>
      <c r="J62" s="39"/>
      <c r="K62" s="39"/>
      <c r="L62" s="40"/>
      <c r="M62" s="75"/>
      <c r="N62" s="74"/>
      <c r="O62" s="6"/>
      <c r="P62" s="7">
        <v>16</v>
      </c>
      <c r="Q62" s="7">
        <f t="shared" si="17"/>
        <v>0</v>
      </c>
      <c r="R62" s="8">
        <v>529</v>
      </c>
      <c r="S62" s="21">
        <v>1</v>
      </c>
      <c r="T62" s="21"/>
      <c r="U62" s="107">
        <v>280</v>
      </c>
      <c r="V62" s="107">
        <f t="shared" si="2"/>
        <v>0</v>
      </c>
      <c r="W62" s="9">
        <f t="shared" si="21"/>
        <v>0</v>
      </c>
      <c r="X62" s="10">
        <f t="shared" si="18"/>
        <v>0</v>
      </c>
      <c r="Y62" s="10" t="str">
        <f t="shared" si="16"/>
        <v xml:space="preserve"> </v>
      </c>
      <c r="Z62" s="88">
        <f t="shared" si="19"/>
        <v>0</v>
      </c>
      <c r="AA62" s="63">
        <f t="shared" si="20"/>
        <v>0</v>
      </c>
      <c r="AB62" s="8"/>
      <c r="AC62" s="68"/>
      <c r="AD62" s="68"/>
      <c r="AE62" s="8"/>
      <c r="AF62" s="10"/>
      <c r="AG62" s="10"/>
      <c r="AH62" s="69"/>
      <c r="AI62" s="10"/>
    </row>
    <row r="63" spans="1:35" x14ac:dyDescent="0.2">
      <c r="A63" s="87" t="s">
        <v>252</v>
      </c>
      <c r="B63" s="52" t="s">
        <v>273</v>
      </c>
      <c r="C63" s="53" t="s">
        <v>274</v>
      </c>
      <c r="D63" s="37"/>
      <c r="E63" s="38"/>
      <c r="F63" s="38"/>
      <c r="G63" s="37"/>
      <c r="H63" s="80"/>
      <c r="I63" s="37"/>
      <c r="J63" s="39"/>
      <c r="K63" s="39"/>
      <c r="L63" s="40"/>
      <c r="M63" s="75"/>
      <c r="N63" s="74"/>
      <c r="O63" s="6"/>
      <c r="P63" s="7">
        <v>16</v>
      </c>
      <c r="Q63" s="7">
        <f t="shared" si="17"/>
        <v>0</v>
      </c>
      <c r="R63" s="8">
        <v>529</v>
      </c>
      <c r="S63" s="21">
        <v>1</v>
      </c>
      <c r="T63" s="21"/>
      <c r="U63" s="107">
        <v>280</v>
      </c>
      <c r="V63" s="107">
        <f t="shared" si="2"/>
        <v>0</v>
      </c>
      <c r="W63" s="9">
        <f t="shared" si="21"/>
        <v>0</v>
      </c>
      <c r="X63" s="10">
        <f t="shared" si="18"/>
        <v>0</v>
      </c>
      <c r="Y63" s="10" t="str">
        <f t="shared" si="16"/>
        <v xml:space="preserve"> </v>
      </c>
      <c r="Z63" s="88">
        <f t="shared" si="19"/>
        <v>0</v>
      </c>
      <c r="AA63" s="63">
        <f t="shared" si="20"/>
        <v>0</v>
      </c>
      <c r="AB63" s="8"/>
      <c r="AC63" s="68"/>
      <c r="AD63" s="68"/>
      <c r="AE63" s="8"/>
      <c r="AF63" s="10"/>
      <c r="AG63" s="10"/>
      <c r="AH63" s="69"/>
      <c r="AI63" s="10"/>
    </row>
    <row r="64" spans="1:35" x14ac:dyDescent="0.2">
      <c r="A64" s="87" t="s">
        <v>252</v>
      </c>
      <c r="B64" s="52" t="s">
        <v>275</v>
      </c>
      <c r="C64" s="53" t="s">
        <v>276</v>
      </c>
      <c r="D64" s="37"/>
      <c r="E64" s="38"/>
      <c r="F64" s="38"/>
      <c r="G64" s="37"/>
      <c r="H64" s="80"/>
      <c r="I64" s="37"/>
      <c r="J64" s="39"/>
      <c r="K64" s="39"/>
      <c r="L64" s="40"/>
      <c r="M64" s="75"/>
      <c r="N64" s="74"/>
      <c r="O64" s="6"/>
      <c r="P64" s="7">
        <v>16</v>
      </c>
      <c r="Q64" s="7">
        <f t="shared" si="17"/>
        <v>0</v>
      </c>
      <c r="R64" s="8">
        <v>529</v>
      </c>
      <c r="S64" s="21">
        <v>1</v>
      </c>
      <c r="T64" s="21"/>
      <c r="U64" s="107">
        <v>280</v>
      </c>
      <c r="V64" s="107">
        <f t="shared" si="2"/>
        <v>0</v>
      </c>
      <c r="W64" s="9">
        <f t="shared" si="21"/>
        <v>0</v>
      </c>
      <c r="X64" s="10">
        <f t="shared" si="18"/>
        <v>0</v>
      </c>
      <c r="Y64" s="10" t="str">
        <f t="shared" si="16"/>
        <v xml:space="preserve"> </v>
      </c>
      <c r="Z64" s="88">
        <f t="shared" si="19"/>
        <v>0</v>
      </c>
      <c r="AA64" s="63">
        <f t="shared" si="20"/>
        <v>0</v>
      </c>
      <c r="AB64" s="8"/>
      <c r="AC64" s="68"/>
      <c r="AD64" s="68"/>
      <c r="AE64" s="8"/>
      <c r="AF64" s="10"/>
      <c r="AG64" s="10"/>
      <c r="AH64" s="69"/>
      <c r="AI64" s="10"/>
    </row>
    <row r="65" spans="1:35" x14ac:dyDescent="0.2">
      <c r="A65" s="87" t="s">
        <v>252</v>
      </c>
      <c r="B65" s="52" t="s">
        <v>277</v>
      </c>
      <c r="C65" s="53" t="s">
        <v>278</v>
      </c>
      <c r="D65" s="37"/>
      <c r="E65" s="38"/>
      <c r="F65" s="38"/>
      <c r="G65" s="37"/>
      <c r="H65" s="80"/>
      <c r="I65" s="37"/>
      <c r="J65" s="39"/>
      <c r="K65" s="39"/>
      <c r="L65" s="40"/>
      <c r="M65" s="75"/>
      <c r="N65" s="74"/>
      <c r="O65" s="6"/>
      <c r="P65" s="7">
        <v>16</v>
      </c>
      <c r="Q65" s="7">
        <f t="shared" si="17"/>
        <v>0</v>
      </c>
      <c r="R65" s="8">
        <v>529</v>
      </c>
      <c r="S65" s="21">
        <v>1</v>
      </c>
      <c r="T65" s="21"/>
      <c r="U65" s="7">
        <v>280</v>
      </c>
      <c r="V65" s="7">
        <f>U65*T65*Q65</f>
        <v>0</v>
      </c>
      <c r="W65" s="9">
        <f>IF(AND(S65&gt;0,T65&gt;0),T65*P65*O65,0)</f>
        <v>0</v>
      </c>
      <c r="X65" s="10">
        <f t="shared" si="18"/>
        <v>0</v>
      </c>
      <c r="Y65" s="10" t="str">
        <f t="shared" si="16"/>
        <v xml:space="preserve"> </v>
      </c>
      <c r="Z65" s="88">
        <f t="shared" si="19"/>
        <v>0</v>
      </c>
      <c r="AA65" s="63">
        <f t="shared" si="20"/>
        <v>0</v>
      </c>
      <c r="AB65" s="8"/>
      <c r="AC65" s="68"/>
      <c r="AD65" s="68"/>
      <c r="AE65" s="8"/>
      <c r="AF65" s="10"/>
      <c r="AG65" s="10"/>
      <c r="AH65" s="69"/>
      <c r="AI65" s="10"/>
    </row>
  </sheetData>
  <sheetProtection sort="0" autoFilter="0" pivotTables="0"/>
  <autoFilter ref="A6:AI52" xr:uid="{11770CE7-492D-9040-B568-59F293DD7BFF}"/>
  <mergeCells count="2">
    <mergeCell ref="A5:C5"/>
    <mergeCell ref="D5:M5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T2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4F77-88E8-43A9-9E30-02D541511907}">
  <sheetPr>
    <tabColor rgb="FF7030A0"/>
  </sheetPr>
  <dimension ref="A2:AO106"/>
  <sheetViews>
    <sheetView showGridLines="0" tabSelected="1" zoomScale="70" zoomScaleNormal="70" workbookViewId="0">
      <selection activeCell="S105" sqref="S105"/>
    </sheetView>
  </sheetViews>
  <sheetFormatPr baseColWidth="10" defaultColWidth="11.5" defaultRowHeight="15" customHeight="1" outlineLevelCol="1" x14ac:dyDescent="0.2"/>
  <cols>
    <col min="2" max="2" width="14.83203125" bestFit="1" customWidth="1"/>
    <col min="3" max="3" width="9.1640625" bestFit="1" customWidth="1"/>
    <col min="4" max="4" width="12.5" style="34" bestFit="1" customWidth="1"/>
    <col min="5" max="5" width="11.1640625" style="49" bestFit="1" customWidth="1"/>
    <col min="6" max="6" width="25.6640625" style="34" bestFit="1" customWidth="1"/>
    <col min="7" max="7" width="10.83203125" style="34" customWidth="1" outlineLevel="1"/>
    <col min="8" max="8" width="65.83203125" style="34" hidden="1" customWidth="1" outlineLevel="1"/>
    <col min="9" max="9" width="19.1640625" style="34" bestFit="1" customWidth="1" outlineLevel="1"/>
    <col min="10" max="10" width="10.83203125" style="34" customWidth="1" outlineLevel="1"/>
    <col min="11" max="11" width="42.5" style="34" hidden="1" customWidth="1" outlineLevel="1"/>
    <col min="12" max="12" width="15.5" style="34" hidden="1" customWidth="1" outlineLevel="1"/>
    <col min="13" max="15" width="10.83203125" style="34" hidden="1" customWidth="1" outlineLevel="1"/>
    <col min="16" max="16" width="14.5" style="34" hidden="1" customWidth="1" outlineLevel="1"/>
    <col min="17" max="17" width="16.6640625" style="34" bestFit="1" customWidth="1"/>
    <col min="18" max="18" width="16.5" style="2" bestFit="1" customWidth="1"/>
    <col min="19" max="19" width="13.6640625" style="2" customWidth="1"/>
    <col min="20" max="20" width="15.5" style="2" customWidth="1"/>
    <col min="21" max="21" width="13.5" customWidth="1"/>
    <col min="22" max="22" width="9.1640625" bestFit="1" customWidth="1"/>
    <col min="23" max="23" width="27.1640625" customWidth="1"/>
    <col min="24" max="24" width="15.1640625" bestFit="1" customWidth="1"/>
    <col min="25" max="27" width="15.1640625" customWidth="1"/>
    <col min="28" max="28" width="17.6640625" style="3" customWidth="1"/>
    <col min="29" max="29" width="18.33203125" bestFit="1" customWidth="1"/>
    <col min="30" max="30" width="18.33203125" customWidth="1"/>
    <col min="31" max="31" width="17.83203125" style="3" customWidth="1"/>
    <col min="32" max="32" width="23.83203125" customWidth="1"/>
    <col min="33" max="33" width="22.1640625" hidden="1" customWidth="1" outlineLevel="1"/>
    <col min="34" max="34" width="17" hidden="1" customWidth="1" outlineLevel="1"/>
    <col min="35" max="35" width="10.83203125" hidden="1" customWidth="1" outlineLevel="1"/>
    <col min="36" max="38" width="26" hidden="1" customWidth="1" outlineLevel="1"/>
    <col min="39" max="39" width="9.6640625" style="2" hidden="1" customWidth="1" outlineLevel="1"/>
    <col min="40" max="40" width="24.5" hidden="1" customWidth="1" outlineLevel="1"/>
    <col min="41" max="41" width="11.5" bestFit="1" customWidth="1" collapsed="1"/>
    <col min="42" max="42" width="13.83203125" bestFit="1" customWidth="1"/>
    <col min="43" max="43" width="9.1640625" bestFit="1" customWidth="1"/>
    <col min="44" max="44" width="4.83203125" customWidth="1"/>
    <col min="45" max="45" width="14.1640625" customWidth="1"/>
    <col min="46" max="46" width="9.1640625" bestFit="1" customWidth="1"/>
    <col min="47" max="47" width="17" customWidth="1"/>
    <col min="48" max="48" width="9.1640625" bestFit="1" customWidth="1"/>
    <col min="49" max="49" width="16.33203125" customWidth="1"/>
  </cols>
  <sheetData>
    <row r="2" spans="1:40" x14ac:dyDescent="0.2">
      <c r="R2" s="34"/>
      <c r="T2" s="11" t="s">
        <v>0</v>
      </c>
      <c r="U2" s="20"/>
      <c r="V2" s="11" t="s">
        <v>1</v>
      </c>
      <c r="W2" s="32">
        <f>U2+15</f>
        <v>15</v>
      </c>
      <c r="X2" s="11" t="s">
        <v>2</v>
      </c>
      <c r="Y2" s="19"/>
      <c r="Z2" s="19"/>
      <c r="AA2" s="19"/>
      <c r="AB2" s="11" t="s">
        <v>457</v>
      </c>
      <c r="AC2" s="19" t="s">
        <v>4</v>
      </c>
      <c r="AD2" s="19" t="s">
        <v>5</v>
      </c>
      <c r="AF2" s="81"/>
      <c r="AH2" s="84"/>
    </row>
    <row r="3" spans="1:40" x14ac:dyDescent="0.2">
      <c r="V3" s="12"/>
      <c r="W3" s="12"/>
      <c r="X3" s="11" t="s">
        <v>6</v>
      </c>
      <c r="Y3" s="20"/>
      <c r="Z3" s="20"/>
      <c r="AA3" s="20"/>
      <c r="AB3" s="11" t="s">
        <v>458</v>
      </c>
      <c r="AC3" s="19" t="s">
        <v>4</v>
      </c>
      <c r="AD3" s="19" t="s">
        <v>5</v>
      </c>
      <c r="AF3" s="82"/>
    </row>
    <row r="5" spans="1:40" ht="24" customHeight="1" x14ac:dyDescent="0.2">
      <c r="A5" s="91"/>
      <c r="B5" s="91"/>
      <c r="C5" s="91"/>
      <c r="D5" s="134" t="s">
        <v>8</v>
      </c>
      <c r="E5" s="135"/>
      <c r="F5" s="136"/>
      <c r="G5" s="143"/>
      <c r="H5" s="144"/>
      <c r="I5" s="144"/>
      <c r="J5" s="144"/>
      <c r="K5" s="144"/>
      <c r="L5" s="144"/>
      <c r="M5" s="144"/>
      <c r="N5" s="144"/>
      <c r="O5" s="144"/>
      <c r="P5" s="145"/>
      <c r="Q5" s="140">
        <f>SUM(Q7:Q79)</f>
        <v>3500189.6666666665</v>
      </c>
      <c r="R5" s="141">
        <f>SUM(R7:R79)</f>
        <v>115940.61111111108</v>
      </c>
      <c r="S5" s="142"/>
      <c r="T5" s="142">
        <f>SUM(T7:T79)</f>
        <v>970</v>
      </c>
      <c r="U5" s="126"/>
      <c r="V5" s="126"/>
      <c r="W5" s="126"/>
      <c r="X5" s="127">
        <f>AVERAGE(X7:X79)</f>
        <v>280</v>
      </c>
      <c r="Y5" s="127">
        <f>SUM(Y7:Y79)</f>
        <v>8148000</v>
      </c>
      <c r="Z5" s="127"/>
      <c r="AA5" s="127"/>
      <c r="AB5" s="127">
        <f>SUM(AB7:AB79)</f>
        <v>175958241.25</v>
      </c>
      <c r="AC5" s="128">
        <f>SUM(AC7:AC79)</f>
        <v>764310</v>
      </c>
      <c r="AD5" s="128"/>
      <c r="AE5" s="129">
        <v>0.23</v>
      </c>
      <c r="AF5" s="130">
        <f>SUM(AF7:AF79)</f>
        <v>588518.70000000077</v>
      </c>
      <c r="AG5" s="131">
        <f>SUM(AG7:AG79)</f>
        <v>68944.444444444467</v>
      </c>
      <c r="AH5" s="132">
        <f>IFERROR(AVERAGEIF(AH7:AH79,"&lt;&gt;0",AH7:AH79),0)</f>
        <v>0.86217751260731079</v>
      </c>
      <c r="AI5" s="132">
        <f>IFERROR(AVERAGEIF(AI7:AI79,"&lt;&gt;0",AI7:AI79),0)</f>
        <v>0.56217751260731263</v>
      </c>
      <c r="AJ5" s="131">
        <f>SUM(AJ7:AJ79)</f>
        <v>431296.45055555541</v>
      </c>
      <c r="AK5" s="131">
        <f>SUM(AK7:AK79)</f>
        <v>281224.18205555523</v>
      </c>
      <c r="AL5" s="131">
        <f>SUM(AL7:AL79)</f>
        <v>75036.134249999974</v>
      </c>
      <c r="AM5" s="129">
        <v>0.15</v>
      </c>
      <c r="AN5" s="131">
        <f>SUM(AN7:AN79)</f>
        <v>75036.134249999974</v>
      </c>
    </row>
    <row r="6" spans="1:40" ht="45" x14ac:dyDescent="0.2">
      <c r="A6" s="137" t="s">
        <v>10</v>
      </c>
      <c r="B6" s="137" t="s">
        <v>279</v>
      </c>
      <c r="C6" s="137" t="s">
        <v>280</v>
      </c>
      <c r="D6" s="137" t="s">
        <v>9</v>
      </c>
      <c r="E6" s="137" t="s">
        <v>10</v>
      </c>
      <c r="F6" s="137" t="s">
        <v>11</v>
      </c>
      <c r="G6" s="138" t="s">
        <v>12</v>
      </c>
      <c r="H6" s="138" t="s">
        <v>13</v>
      </c>
      <c r="I6" s="139" t="s">
        <v>14</v>
      </c>
      <c r="J6" s="138" t="s">
        <v>15</v>
      </c>
      <c r="K6" s="138" t="s">
        <v>16</v>
      </c>
      <c r="L6" s="138" t="s">
        <v>17</v>
      </c>
      <c r="M6" s="138" t="s">
        <v>18</v>
      </c>
      <c r="N6" s="138" t="s">
        <v>19</v>
      </c>
      <c r="O6" s="138" t="s">
        <v>20</v>
      </c>
      <c r="P6" s="138" t="s">
        <v>21</v>
      </c>
      <c r="Q6" s="137" t="s">
        <v>22</v>
      </c>
      <c r="R6" s="124" t="s">
        <v>23</v>
      </c>
      <c r="S6" s="124" t="s">
        <v>24</v>
      </c>
      <c r="T6" s="124" t="s">
        <v>25</v>
      </c>
      <c r="U6" s="124" t="s">
        <v>26</v>
      </c>
      <c r="V6" s="124" t="s">
        <v>27</v>
      </c>
      <c r="W6" s="124" t="s">
        <v>28</v>
      </c>
      <c r="X6" s="124" t="s">
        <v>29</v>
      </c>
      <c r="Y6" s="124" t="s">
        <v>459</v>
      </c>
      <c r="Z6" s="124" t="s">
        <v>460</v>
      </c>
      <c r="AA6" s="124" t="s">
        <v>461</v>
      </c>
      <c r="AB6" s="124" t="s">
        <v>462</v>
      </c>
      <c r="AC6" s="124" t="s">
        <v>32</v>
      </c>
      <c r="AD6" s="124" t="s">
        <v>33</v>
      </c>
      <c r="AE6" s="124" t="s">
        <v>34</v>
      </c>
      <c r="AF6" s="124" t="s">
        <v>35</v>
      </c>
      <c r="AG6" s="133" t="s">
        <v>36</v>
      </c>
      <c r="AH6" s="133" t="s">
        <v>37</v>
      </c>
      <c r="AI6" s="133" t="s">
        <v>38</v>
      </c>
      <c r="AJ6" s="133" t="s">
        <v>39</v>
      </c>
      <c r="AK6" s="133" t="s">
        <v>40</v>
      </c>
      <c r="AL6" s="133" t="s">
        <v>41</v>
      </c>
      <c r="AM6" s="133" t="s">
        <v>42</v>
      </c>
      <c r="AN6" s="133" t="s">
        <v>43</v>
      </c>
    </row>
    <row r="7" spans="1:40" x14ac:dyDescent="0.2">
      <c r="A7" s="92">
        <v>743</v>
      </c>
      <c r="B7" s="105" t="s">
        <v>281</v>
      </c>
      <c r="C7" s="105">
        <v>1</v>
      </c>
      <c r="D7" s="114" t="s">
        <v>44</v>
      </c>
      <c r="E7" s="92">
        <v>743</v>
      </c>
      <c r="F7" s="102" t="s">
        <v>46</v>
      </c>
      <c r="G7" s="89" t="s">
        <v>47</v>
      </c>
      <c r="H7" s="93" t="s">
        <v>48</v>
      </c>
      <c r="I7" s="125" t="s">
        <v>49</v>
      </c>
      <c r="J7" s="89" t="s">
        <v>50</v>
      </c>
      <c r="K7" s="89" t="s">
        <v>51</v>
      </c>
      <c r="L7" s="89" t="s">
        <v>52</v>
      </c>
      <c r="M7" s="90">
        <v>0.56097687173384303</v>
      </c>
      <c r="N7" s="90">
        <v>0.414239147306876</v>
      </c>
      <c r="O7" s="115">
        <v>3.63</v>
      </c>
      <c r="P7" s="116">
        <v>91.84</v>
      </c>
      <c r="Q7" s="117">
        <v>38487</v>
      </c>
      <c r="R7" s="118">
        <f t="shared" ref="R7:R21" si="0">Q7/30</f>
        <v>1282.9000000000001</v>
      </c>
      <c r="S7" s="94">
        <v>15</v>
      </c>
      <c r="T7" s="94">
        <f t="shared" ref="T7:T38" si="1">IF(AND(V7&gt;0,W7&gt;0),S7,0)</f>
        <v>15</v>
      </c>
      <c r="U7" s="95">
        <v>349</v>
      </c>
      <c r="V7" s="96">
        <v>1</v>
      </c>
      <c r="W7" s="96">
        <v>30</v>
      </c>
      <c r="X7" s="94">
        <v>280</v>
      </c>
      <c r="Y7" s="94">
        <f t="shared" ref="Y7:Y38" si="2">X7*W7*T7</f>
        <v>126000</v>
      </c>
      <c r="Z7" s="101">
        <v>0.5</v>
      </c>
      <c r="AA7" s="101">
        <v>0.5</v>
      </c>
      <c r="AB7" s="97">
        <f>(R7*W7)*Z7*((20/60)*45)*T7*AA7</f>
        <v>2164893.75</v>
      </c>
      <c r="AC7" s="98">
        <f t="shared" ref="AC7:AC38" si="3">U7*V7*W7</f>
        <v>10470</v>
      </c>
      <c r="AD7" s="98">
        <f t="shared" ref="AD7:AD38" si="4">IFERROR((AF7/(AB7/1000))," ")</f>
        <v>3.7239240955820581</v>
      </c>
      <c r="AE7" s="104">
        <f t="shared" ref="AE7:AE38" si="5">$AE$5</f>
        <v>0.23</v>
      </c>
      <c r="AF7" s="99">
        <f t="shared" ref="AF7:AF38" si="6">AC7*(1-AE7)</f>
        <v>8061.9000000000005</v>
      </c>
      <c r="AG7" s="95">
        <f t="shared" ref="AG7:AG38" si="7">((17000/30/18)*W7)*V7</f>
        <v>944.44444444444446</v>
      </c>
      <c r="AH7" s="100">
        <f t="shared" ref="AH7:AH38" si="8">IFERROR(((AF7*0.85)-AG7)/(AF7*0.85),0)</f>
        <v>0.86217751260731201</v>
      </c>
      <c r="AI7" s="100">
        <f t="shared" ref="AI7:AI38" si="9">IFERROR(((AF7*0.85)-(AG7+AL7+AN7))/(AF7*0.85),0)</f>
        <v>0.56217751260731197</v>
      </c>
      <c r="AJ7" s="95">
        <f t="shared" ref="AJ7:AJ38" si="10">(AF7*0.85)-AG7</f>
        <v>5908.1705555555563</v>
      </c>
      <c r="AK7" s="98">
        <f t="shared" ref="AK7:AK38" si="11">(AF7*0.85)-AG7-AL7-AN7</f>
        <v>3852.3860555555566</v>
      </c>
      <c r="AL7" s="98">
        <f t="shared" ref="AL7:AL38" si="12">((AF7*0.85)*(0.3-AM7))</f>
        <v>1027.8922500000001</v>
      </c>
      <c r="AM7" s="101">
        <f t="shared" ref="AM7:AM38" si="13">$AM$5</f>
        <v>0.15</v>
      </c>
      <c r="AN7" s="98">
        <f t="shared" ref="AN7:AN38" si="14">AM7*(AF7*0.85)</f>
        <v>1027.8922500000001</v>
      </c>
    </row>
    <row r="8" spans="1:40" x14ac:dyDescent="0.2">
      <c r="A8" s="92">
        <v>721</v>
      </c>
      <c r="B8" s="105" t="s">
        <v>281</v>
      </c>
      <c r="C8" s="105">
        <v>2</v>
      </c>
      <c r="D8" s="114" t="s">
        <v>44</v>
      </c>
      <c r="E8" s="92">
        <v>721</v>
      </c>
      <c r="F8" s="102" t="s">
        <v>54</v>
      </c>
      <c r="G8" s="89" t="s">
        <v>55</v>
      </c>
      <c r="H8" s="93" t="s">
        <v>56</v>
      </c>
      <c r="I8" s="125" t="s">
        <v>49</v>
      </c>
      <c r="J8" s="89" t="s">
        <v>50</v>
      </c>
      <c r="K8" s="89" t="s">
        <v>57</v>
      </c>
      <c r="L8" s="89" t="s">
        <v>52</v>
      </c>
      <c r="M8" s="90">
        <v>0.63785061390114794</v>
      </c>
      <c r="N8" s="90">
        <v>0.33449768871969698</v>
      </c>
      <c r="O8" s="115">
        <v>2.71</v>
      </c>
      <c r="P8" s="116">
        <v>99.25</v>
      </c>
      <c r="Q8" s="117">
        <v>80136</v>
      </c>
      <c r="R8" s="118">
        <f t="shared" si="0"/>
        <v>2671.2</v>
      </c>
      <c r="S8" s="94">
        <v>15</v>
      </c>
      <c r="T8" s="94">
        <f t="shared" si="1"/>
        <v>15</v>
      </c>
      <c r="U8" s="95">
        <v>349</v>
      </c>
      <c r="V8" s="96">
        <v>1</v>
      </c>
      <c r="W8" s="96">
        <v>30</v>
      </c>
      <c r="X8" s="94">
        <v>280</v>
      </c>
      <c r="Y8" s="94">
        <f t="shared" si="2"/>
        <v>126000</v>
      </c>
      <c r="Z8" s="101">
        <v>0.5</v>
      </c>
      <c r="AA8" s="101">
        <v>0.5</v>
      </c>
      <c r="AB8" s="97">
        <f t="shared" ref="AB8:AB64" si="15">(R8*W8)*Z8*((20/60)*45)*T8*AA8</f>
        <v>4507650</v>
      </c>
      <c r="AC8" s="98">
        <f t="shared" si="3"/>
        <v>10470</v>
      </c>
      <c r="AD8" s="98">
        <f t="shared" si="4"/>
        <v>1.7884928954111348</v>
      </c>
      <c r="AE8" s="104">
        <f t="shared" si="5"/>
        <v>0.23</v>
      </c>
      <c r="AF8" s="99">
        <f t="shared" si="6"/>
        <v>8061.9000000000005</v>
      </c>
      <c r="AG8" s="95">
        <f t="shared" si="7"/>
        <v>944.44444444444446</v>
      </c>
      <c r="AH8" s="100">
        <f t="shared" si="8"/>
        <v>0.86217751260731201</v>
      </c>
      <c r="AI8" s="100">
        <f t="shared" si="9"/>
        <v>0.56217751260731197</v>
      </c>
      <c r="AJ8" s="95">
        <f t="shared" si="10"/>
        <v>5908.1705555555563</v>
      </c>
      <c r="AK8" s="98">
        <f t="shared" si="11"/>
        <v>3852.3860555555566</v>
      </c>
      <c r="AL8" s="98">
        <f t="shared" si="12"/>
        <v>1027.8922500000001</v>
      </c>
      <c r="AM8" s="101">
        <f t="shared" si="13"/>
        <v>0.15</v>
      </c>
      <c r="AN8" s="98">
        <f t="shared" si="14"/>
        <v>1027.8922500000001</v>
      </c>
    </row>
    <row r="9" spans="1:40" x14ac:dyDescent="0.2">
      <c r="A9" s="92">
        <v>717</v>
      </c>
      <c r="B9" s="105" t="s">
        <v>281</v>
      </c>
      <c r="C9" s="105">
        <v>3</v>
      </c>
      <c r="D9" s="114" t="s">
        <v>44</v>
      </c>
      <c r="E9" s="92">
        <v>717</v>
      </c>
      <c r="F9" s="102" t="s">
        <v>59</v>
      </c>
      <c r="G9" s="89" t="s">
        <v>55</v>
      </c>
      <c r="H9" s="93" t="s">
        <v>60</v>
      </c>
      <c r="I9" s="125" t="s">
        <v>49</v>
      </c>
      <c r="J9" s="89" t="s">
        <v>50</v>
      </c>
      <c r="K9" s="89" t="s">
        <v>61</v>
      </c>
      <c r="L9" s="89" t="s">
        <v>52</v>
      </c>
      <c r="M9" s="90">
        <v>0.62418138295469905</v>
      </c>
      <c r="N9" s="90">
        <v>0.348155006548936</v>
      </c>
      <c r="O9" s="115">
        <v>2.41</v>
      </c>
      <c r="P9" s="116">
        <v>96.38</v>
      </c>
      <c r="Q9" s="117">
        <v>45209</v>
      </c>
      <c r="R9" s="118">
        <f t="shared" si="0"/>
        <v>1506.9666666666667</v>
      </c>
      <c r="S9" s="94">
        <v>16</v>
      </c>
      <c r="T9" s="94">
        <f t="shared" si="1"/>
        <v>16</v>
      </c>
      <c r="U9" s="95">
        <v>349</v>
      </c>
      <c r="V9" s="96">
        <v>1</v>
      </c>
      <c r="W9" s="96">
        <v>30</v>
      </c>
      <c r="X9" s="94">
        <v>280</v>
      </c>
      <c r="Y9" s="94">
        <f t="shared" si="2"/>
        <v>134400</v>
      </c>
      <c r="Z9" s="101">
        <v>0.5</v>
      </c>
      <c r="AA9" s="101">
        <v>0.5</v>
      </c>
      <c r="AB9" s="97">
        <f t="shared" si="15"/>
        <v>2712540</v>
      </c>
      <c r="AC9" s="98">
        <f t="shared" si="3"/>
        <v>10470</v>
      </c>
      <c r="AD9" s="98">
        <f t="shared" si="4"/>
        <v>2.9720852042734855</v>
      </c>
      <c r="AE9" s="104">
        <f t="shared" si="5"/>
        <v>0.23</v>
      </c>
      <c r="AF9" s="99">
        <f t="shared" si="6"/>
        <v>8061.9000000000005</v>
      </c>
      <c r="AG9" s="95">
        <f t="shared" si="7"/>
        <v>944.44444444444446</v>
      </c>
      <c r="AH9" s="100">
        <f t="shared" si="8"/>
        <v>0.86217751260731201</v>
      </c>
      <c r="AI9" s="100">
        <f t="shared" si="9"/>
        <v>0.56217751260731197</v>
      </c>
      <c r="AJ9" s="95">
        <f t="shared" si="10"/>
        <v>5908.1705555555563</v>
      </c>
      <c r="AK9" s="98">
        <f t="shared" si="11"/>
        <v>3852.3860555555566</v>
      </c>
      <c r="AL9" s="98">
        <f t="shared" si="12"/>
        <v>1027.8922500000001</v>
      </c>
      <c r="AM9" s="101">
        <f t="shared" si="13"/>
        <v>0.15</v>
      </c>
      <c r="AN9" s="98">
        <f t="shared" si="14"/>
        <v>1027.8922500000001</v>
      </c>
    </row>
    <row r="10" spans="1:40" x14ac:dyDescent="0.2">
      <c r="A10" s="92">
        <v>729</v>
      </c>
      <c r="B10" s="105" t="s">
        <v>281</v>
      </c>
      <c r="C10" s="105">
        <v>4</v>
      </c>
      <c r="D10" s="114" t="s">
        <v>44</v>
      </c>
      <c r="E10" s="92">
        <v>729</v>
      </c>
      <c r="F10" s="102" t="s">
        <v>63</v>
      </c>
      <c r="G10" s="89" t="s">
        <v>55</v>
      </c>
      <c r="H10" s="93" t="s">
        <v>64</v>
      </c>
      <c r="I10" s="125" t="s">
        <v>49</v>
      </c>
      <c r="J10" s="89" t="s">
        <v>50</v>
      </c>
      <c r="K10" s="89" t="s">
        <v>65</v>
      </c>
      <c r="L10" s="89" t="s">
        <v>52</v>
      </c>
      <c r="M10" s="90">
        <v>0.560721329952099</v>
      </c>
      <c r="N10" s="90">
        <v>0.41416987570833702</v>
      </c>
      <c r="O10" s="115">
        <v>3.17</v>
      </c>
      <c r="P10" s="116">
        <v>114.63</v>
      </c>
      <c r="Q10" s="117">
        <v>43386</v>
      </c>
      <c r="R10" s="118">
        <f t="shared" si="0"/>
        <v>1446.2</v>
      </c>
      <c r="S10" s="94">
        <v>16</v>
      </c>
      <c r="T10" s="94">
        <f t="shared" si="1"/>
        <v>16</v>
      </c>
      <c r="U10" s="95">
        <v>349</v>
      </c>
      <c r="V10" s="96">
        <v>1</v>
      </c>
      <c r="W10" s="96">
        <v>30</v>
      </c>
      <c r="X10" s="94">
        <v>280</v>
      </c>
      <c r="Y10" s="94">
        <f t="shared" si="2"/>
        <v>134400</v>
      </c>
      <c r="Z10" s="101">
        <v>0.5</v>
      </c>
      <c r="AA10" s="101">
        <v>0.5</v>
      </c>
      <c r="AB10" s="97">
        <f t="shared" si="15"/>
        <v>2603160</v>
      </c>
      <c r="AC10" s="98">
        <f t="shared" si="3"/>
        <v>10470</v>
      </c>
      <c r="AD10" s="98">
        <f t="shared" si="4"/>
        <v>3.0969667634720883</v>
      </c>
      <c r="AE10" s="104">
        <f t="shared" si="5"/>
        <v>0.23</v>
      </c>
      <c r="AF10" s="99">
        <f t="shared" si="6"/>
        <v>8061.9000000000005</v>
      </c>
      <c r="AG10" s="95">
        <f t="shared" si="7"/>
        <v>944.44444444444446</v>
      </c>
      <c r="AH10" s="100">
        <f t="shared" si="8"/>
        <v>0.86217751260731201</v>
      </c>
      <c r="AI10" s="100">
        <f t="shared" si="9"/>
        <v>0.56217751260731197</v>
      </c>
      <c r="AJ10" s="95">
        <f t="shared" si="10"/>
        <v>5908.1705555555563</v>
      </c>
      <c r="AK10" s="98">
        <f t="shared" si="11"/>
        <v>3852.3860555555566</v>
      </c>
      <c r="AL10" s="98">
        <f t="shared" si="12"/>
        <v>1027.8922500000001</v>
      </c>
      <c r="AM10" s="101">
        <f t="shared" si="13"/>
        <v>0.15</v>
      </c>
      <c r="AN10" s="98">
        <f t="shared" si="14"/>
        <v>1027.8922500000001</v>
      </c>
    </row>
    <row r="11" spans="1:40" x14ac:dyDescent="0.2">
      <c r="A11" s="92">
        <v>728</v>
      </c>
      <c r="B11" s="105" t="s">
        <v>281</v>
      </c>
      <c r="C11" s="105">
        <v>5</v>
      </c>
      <c r="D11" s="114" t="s">
        <v>44</v>
      </c>
      <c r="E11" s="92">
        <v>728</v>
      </c>
      <c r="F11" s="102" t="s">
        <v>67</v>
      </c>
      <c r="G11" s="89" t="s">
        <v>47</v>
      </c>
      <c r="H11" s="93" t="s">
        <v>68</v>
      </c>
      <c r="I11" s="125" t="s">
        <v>49</v>
      </c>
      <c r="J11" s="89" t="s">
        <v>50</v>
      </c>
      <c r="K11" s="89" t="s">
        <v>69</v>
      </c>
      <c r="L11" s="89" t="s">
        <v>52</v>
      </c>
      <c r="M11" s="90">
        <v>0.51199559794570804</v>
      </c>
      <c r="N11" s="90">
        <v>0.46063829787234001</v>
      </c>
      <c r="O11" s="115">
        <v>2.59</v>
      </c>
      <c r="P11" s="116">
        <v>163.63</v>
      </c>
      <c r="Q11" s="117">
        <v>63893</v>
      </c>
      <c r="R11" s="118">
        <f t="shared" si="0"/>
        <v>2129.7666666666669</v>
      </c>
      <c r="S11" s="94">
        <v>16</v>
      </c>
      <c r="T11" s="94">
        <f t="shared" si="1"/>
        <v>16</v>
      </c>
      <c r="U11" s="95">
        <v>349</v>
      </c>
      <c r="V11" s="96">
        <v>1</v>
      </c>
      <c r="W11" s="96">
        <v>30</v>
      </c>
      <c r="X11" s="94">
        <v>280</v>
      </c>
      <c r="Y11" s="94">
        <f t="shared" si="2"/>
        <v>134400</v>
      </c>
      <c r="Z11" s="101">
        <v>0.5</v>
      </c>
      <c r="AA11" s="101">
        <v>0.5</v>
      </c>
      <c r="AB11" s="97">
        <f t="shared" si="15"/>
        <v>3833580.0000000005</v>
      </c>
      <c r="AC11" s="98">
        <f t="shared" si="3"/>
        <v>10470</v>
      </c>
      <c r="AD11" s="98">
        <f t="shared" si="4"/>
        <v>2.1029690263409138</v>
      </c>
      <c r="AE11" s="104">
        <f t="shared" si="5"/>
        <v>0.23</v>
      </c>
      <c r="AF11" s="99">
        <f t="shared" si="6"/>
        <v>8061.9000000000005</v>
      </c>
      <c r="AG11" s="95">
        <f t="shared" si="7"/>
        <v>944.44444444444446</v>
      </c>
      <c r="AH11" s="100">
        <f t="shared" si="8"/>
        <v>0.86217751260731201</v>
      </c>
      <c r="AI11" s="100">
        <f t="shared" si="9"/>
        <v>0.56217751260731197</v>
      </c>
      <c r="AJ11" s="95">
        <f t="shared" si="10"/>
        <v>5908.1705555555563</v>
      </c>
      <c r="AK11" s="98">
        <f t="shared" si="11"/>
        <v>3852.3860555555566</v>
      </c>
      <c r="AL11" s="98">
        <f t="shared" si="12"/>
        <v>1027.8922500000001</v>
      </c>
      <c r="AM11" s="101">
        <f t="shared" si="13"/>
        <v>0.15</v>
      </c>
      <c r="AN11" s="98">
        <f t="shared" si="14"/>
        <v>1027.8922500000001</v>
      </c>
    </row>
    <row r="12" spans="1:40" x14ac:dyDescent="0.2">
      <c r="A12" s="92">
        <v>731</v>
      </c>
      <c r="B12" s="105" t="s">
        <v>281</v>
      </c>
      <c r="C12" s="105">
        <v>6</v>
      </c>
      <c r="D12" s="114" t="s">
        <v>44</v>
      </c>
      <c r="E12" s="92">
        <v>731</v>
      </c>
      <c r="F12" s="102" t="s">
        <v>71</v>
      </c>
      <c r="G12" s="89" t="s">
        <v>47</v>
      </c>
      <c r="H12" s="93" t="s">
        <v>72</v>
      </c>
      <c r="I12" s="125" t="s">
        <v>49</v>
      </c>
      <c r="J12" s="89" t="s">
        <v>50</v>
      </c>
      <c r="K12" s="89" t="s">
        <v>73</v>
      </c>
      <c r="L12" s="89" t="s">
        <v>52</v>
      </c>
      <c r="M12" s="90">
        <v>0.46912794398472302</v>
      </c>
      <c r="N12" s="90">
        <v>0.50611410767529896</v>
      </c>
      <c r="O12" s="115">
        <v>2.67</v>
      </c>
      <c r="P12" s="116">
        <v>213.62</v>
      </c>
      <c r="Q12" s="117">
        <v>53791</v>
      </c>
      <c r="R12" s="118">
        <f t="shared" si="0"/>
        <v>1793.0333333333333</v>
      </c>
      <c r="S12" s="94">
        <v>16</v>
      </c>
      <c r="T12" s="94">
        <f t="shared" si="1"/>
        <v>16</v>
      </c>
      <c r="U12" s="95">
        <v>349</v>
      </c>
      <c r="V12" s="96">
        <v>1</v>
      </c>
      <c r="W12" s="96">
        <v>30</v>
      </c>
      <c r="X12" s="94">
        <v>280</v>
      </c>
      <c r="Y12" s="94">
        <f t="shared" si="2"/>
        <v>134400</v>
      </c>
      <c r="Z12" s="101">
        <v>0.5</v>
      </c>
      <c r="AA12" s="101">
        <v>0.5</v>
      </c>
      <c r="AB12" s="97">
        <f t="shared" si="15"/>
        <v>3227460</v>
      </c>
      <c r="AC12" s="98">
        <f t="shared" si="3"/>
        <v>10470</v>
      </c>
      <c r="AD12" s="98">
        <f t="shared" si="4"/>
        <v>2.4979085720659593</v>
      </c>
      <c r="AE12" s="104">
        <f t="shared" si="5"/>
        <v>0.23</v>
      </c>
      <c r="AF12" s="99">
        <f t="shared" si="6"/>
        <v>8061.9000000000005</v>
      </c>
      <c r="AG12" s="95">
        <f t="shared" si="7"/>
        <v>944.44444444444446</v>
      </c>
      <c r="AH12" s="100">
        <f t="shared" si="8"/>
        <v>0.86217751260731201</v>
      </c>
      <c r="AI12" s="100">
        <f t="shared" si="9"/>
        <v>0.56217751260731197</v>
      </c>
      <c r="AJ12" s="95">
        <f t="shared" si="10"/>
        <v>5908.1705555555563</v>
      </c>
      <c r="AK12" s="98">
        <f t="shared" si="11"/>
        <v>3852.3860555555566</v>
      </c>
      <c r="AL12" s="98">
        <f t="shared" si="12"/>
        <v>1027.8922500000001</v>
      </c>
      <c r="AM12" s="101">
        <f t="shared" si="13"/>
        <v>0.15</v>
      </c>
      <c r="AN12" s="98">
        <f t="shared" si="14"/>
        <v>1027.8922500000001</v>
      </c>
    </row>
    <row r="13" spans="1:40" x14ac:dyDescent="0.2">
      <c r="A13" s="92">
        <v>734</v>
      </c>
      <c r="B13" s="105" t="s">
        <v>281</v>
      </c>
      <c r="C13" s="105">
        <v>7</v>
      </c>
      <c r="D13" s="114" t="s">
        <v>44</v>
      </c>
      <c r="E13" s="92">
        <v>734</v>
      </c>
      <c r="F13" s="102" t="s">
        <v>75</v>
      </c>
      <c r="G13" s="89" t="s">
        <v>47</v>
      </c>
      <c r="H13" s="93" t="s">
        <v>76</v>
      </c>
      <c r="I13" s="125" t="s">
        <v>49</v>
      </c>
      <c r="J13" s="89" t="s">
        <v>50</v>
      </c>
      <c r="K13" s="89" t="s">
        <v>77</v>
      </c>
      <c r="L13" s="89" t="s">
        <v>52</v>
      </c>
      <c r="M13" s="90">
        <v>0.499056258275347</v>
      </c>
      <c r="N13" s="90">
        <v>0.477392455700481</v>
      </c>
      <c r="O13" s="115">
        <v>2.64</v>
      </c>
      <c r="P13" s="116">
        <v>150.53</v>
      </c>
      <c r="Q13" s="117">
        <v>36768</v>
      </c>
      <c r="R13" s="118">
        <f t="shared" si="0"/>
        <v>1225.5999999999999</v>
      </c>
      <c r="S13" s="94">
        <v>16</v>
      </c>
      <c r="T13" s="94">
        <f t="shared" si="1"/>
        <v>16</v>
      </c>
      <c r="U13" s="95">
        <v>349</v>
      </c>
      <c r="V13" s="96">
        <v>1</v>
      </c>
      <c r="W13" s="96">
        <v>30</v>
      </c>
      <c r="X13" s="94">
        <v>280</v>
      </c>
      <c r="Y13" s="94">
        <f t="shared" si="2"/>
        <v>134400</v>
      </c>
      <c r="Z13" s="101">
        <v>0.5</v>
      </c>
      <c r="AA13" s="101">
        <v>0.5</v>
      </c>
      <c r="AB13" s="97">
        <f t="shared" si="15"/>
        <v>2206080</v>
      </c>
      <c r="AC13" s="98">
        <f t="shared" si="3"/>
        <v>10470</v>
      </c>
      <c r="AD13" s="98">
        <f t="shared" si="4"/>
        <v>3.6544005657093126</v>
      </c>
      <c r="AE13" s="104">
        <f t="shared" si="5"/>
        <v>0.23</v>
      </c>
      <c r="AF13" s="99">
        <f t="shared" si="6"/>
        <v>8061.9000000000005</v>
      </c>
      <c r="AG13" s="95">
        <f t="shared" si="7"/>
        <v>944.44444444444446</v>
      </c>
      <c r="AH13" s="100">
        <f t="shared" si="8"/>
        <v>0.86217751260731201</v>
      </c>
      <c r="AI13" s="100">
        <f t="shared" si="9"/>
        <v>0.56217751260731197</v>
      </c>
      <c r="AJ13" s="95">
        <f t="shared" si="10"/>
        <v>5908.1705555555563</v>
      </c>
      <c r="AK13" s="98">
        <f t="shared" si="11"/>
        <v>3852.3860555555566</v>
      </c>
      <c r="AL13" s="98">
        <f t="shared" si="12"/>
        <v>1027.8922500000001</v>
      </c>
      <c r="AM13" s="101">
        <f t="shared" si="13"/>
        <v>0.15</v>
      </c>
      <c r="AN13" s="98">
        <f t="shared" si="14"/>
        <v>1027.8922500000001</v>
      </c>
    </row>
    <row r="14" spans="1:40" x14ac:dyDescent="0.2">
      <c r="A14" s="92">
        <v>736</v>
      </c>
      <c r="B14" s="105" t="s">
        <v>281</v>
      </c>
      <c r="C14" s="105">
        <v>8</v>
      </c>
      <c r="D14" s="114" t="s">
        <v>44</v>
      </c>
      <c r="E14" s="92">
        <v>736</v>
      </c>
      <c r="F14" s="102" t="s">
        <v>79</v>
      </c>
      <c r="G14" s="89" t="s">
        <v>47</v>
      </c>
      <c r="H14" s="93" t="s">
        <v>80</v>
      </c>
      <c r="I14" s="125" t="s">
        <v>49</v>
      </c>
      <c r="J14" s="89" t="s">
        <v>50</v>
      </c>
      <c r="K14" s="89" t="s">
        <v>81</v>
      </c>
      <c r="L14" s="89" t="s">
        <v>52</v>
      </c>
      <c r="M14" s="90">
        <v>0.59137826350941103</v>
      </c>
      <c r="N14" s="90">
        <v>0.38240651451837498</v>
      </c>
      <c r="O14" s="115">
        <v>2.93</v>
      </c>
      <c r="P14" s="116">
        <v>94.65</v>
      </c>
      <c r="Q14" s="117">
        <v>100733</v>
      </c>
      <c r="R14" s="118">
        <f t="shared" si="0"/>
        <v>3357.7666666666669</v>
      </c>
      <c r="S14" s="94">
        <v>10</v>
      </c>
      <c r="T14" s="94">
        <f t="shared" si="1"/>
        <v>10</v>
      </c>
      <c r="U14" s="95">
        <v>349</v>
      </c>
      <c r="V14" s="96">
        <v>1</v>
      </c>
      <c r="W14" s="96">
        <v>30</v>
      </c>
      <c r="X14" s="94">
        <v>280</v>
      </c>
      <c r="Y14" s="94">
        <f t="shared" si="2"/>
        <v>84000</v>
      </c>
      <c r="Z14" s="101">
        <v>0.5</v>
      </c>
      <c r="AA14" s="101">
        <v>0.5</v>
      </c>
      <c r="AB14" s="97">
        <f t="shared" si="15"/>
        <v>3777487.5</v>
      </c>
      <c r="AC14" s="98">
        <f t="shared" si="3"/>
        <v>10470</v>
      </c>
      <c r="AD14" s="98">
        <f t="shared" si="4"/>
        <v>2.1341963408217763</v>
      </c>
      <c r="AE14" s="104">
        <f t="shared" si="5"/>
        <v>0.23</v>
      </c>
      <c r="AF14" s="99">
        <f t="shared" si="6"/>
        <v>8061.9000000000005</v>
      </c>
      <c r="AG14" s="95">
        <f t="shared" si="7"/>
        <v>944.44444444444446</v>
      </c>
      <c r="AH14" s="100">
        <f t="shared" si="8"/>
        <v>0.86217751260731201</v>
      </c>
      <c r="AI14" s="100">
        <f t="shared" si="9"/>
        <v>0.56217751260731197</v>
      </c>
      <c r="AJ14" s="95">
        <f t="shared" si="10"/>
        <v>5908.1705555555563</v>
      </c>
      <c r="AK14" s="98">
        <f t="shared" si="11"/>
        <v>3852.3860555555566</v>
      </c>
      <c r="AL14" s="98">
        <f t="shared" si="12"/>
        <v>1027.8922500000001</v>
      </c>
      <c r="AM14" s="101">
        <f t="shared" si="13"/>
        <v>0.15</v>
      </c>
      <c r="AN14" s="98">
        <f t="shared" si="14"/>
        <v>1027.8922500000001</v>
      </c>
    </row>
    <row r="15" spans="1:40" x14ac:dyDescent="0.2">
      <c r="A15" s="92">
        <v>719</v>
      </c>
      <c r="B15" s="105" t="s">
        <v>281</v>
      </c>
      <c r="C15" s="105">
        <v>9</v>
      </c>
      <c r="D15" s="114" t="s">
        <v>44</v>
      </c>
      <c r="E15" s="92">
        <v>719</v>
      </c>
      <c r="F15" s="102" t="s">
        <v>83</v>
      </c>
      <c r="G15" s="89" t="s">
        <v>55</v>
      </c>
      <c r="H15" s="93" t="s">
        <v>84</v>
      </c>
      <c r="I15" s="125" t="s">
        <v>49</v>
      </c>
      <c r="J15" s="89" t="s">
        <v>50</v>
      </c>
      <c r="K15" s="89" t="s">
        <v>85</v>
      </c>
      <c r="L15" s="89" t="s">
        <v>52</v>
      </c>
      <c r="M15" s="90">
        <v>0.66990725220695002</v>
      </c>
      <c r="N15" s="90">
        <v>0.30196111297351602</v>
      </c>
      <c r="O15" s="115">
        <v>2.4300000000000002</v>
      </c>
      <c r="P15" s="116">
        <v>68.75</v>
      </c>
      <c r="Q15" s="117">
        <v>35397</v>
      </c>
      <c r="R15" s="118">
        <f t="shared" si="0"/>
        <v>1179.9000000000001</v>
      </c>
      <c r="S15" s="94">
        <v>15</v>
      </c>
      <c r="T15" s="94">
        <f t="shared" si="1"/>
        <v>15</v>
      </c>
      <c r="U15" s="95">
        <v>349</v>
      </c>
      <c r="V15" s="96">
        <v>1</v>
      </c>
      <c r="W15" s="96">
        <v>30</v>
      </c>
      <c r="X15" s="94">
        <v>280</v>
      </c>
      <c r="Y15" s="94">
        <f t="shared" si="2"/>
        <v>126000</v>
      </c>
      <c r="Z15" s="101">
        <v>0.5</v>
      </c>
      <c r="AA15" s="101">
        <v>0.5</v>
      </c>
      <c r="AB15" s="97">
        <f t="shared" si="15"/>
        <v>1991081.25</v>
      </c>
      <c r="AC15" s="98">
        <f t="shared" si="3"/>
        <v>10470</v>
      </c>
      <c r="AD15" s="98">
        <f t="shared" si="4"/>
        <v>4.0490060362930951</v>
      </c>
      <c r="AE15" s="104">
        <f t="shared" si="5"/>
        <v>0.23</v>
      </c>
      <c r="AF15" s="99">
        <f t="shared" si="6"/>
        <v>8061.9000000000005</v>
      </c>
      <c r="AG15" s="95">
        <f t="shared" si="7"/>
        <v>944.44444444444446</v>
      </c>
      <c r="AH15" s="100">
        <f t="shared" si="8"/>
        <v>0.86217751260731201</v>
      </c>
      <c r="AI15" s="100">
        <f t="shared" si="9"/>
        <v>0.56217751260731197</v>
      </c>
      <c r="AJ15" s="95">
        <f t="shared" si="10"/>
        <v>5908.1705555555563</v>
      </c>
      <c r="AK15" s="98">
        <f t="shared" si="11"/>
        <v>3852.3860555555566</v>
      </c>
      <c r="AL15" s="98">
        <f t="shared" si="12"/>
        <v>1027.8922500000001</v>
      </c>
      <c r="AM15" s="101">
        <f t="shared" si="13"/>
        <v>0.15</v>
      </c>
      <c r="AN15" s="98">
        <f t="shared" si="14"/>
        <v>1027.8922500000001</v>
      </c>
    </row>
    <row r="16" spans="1:40" x14ac:dyDescent="0.2">
      <c r="A16" s="92">
        <v>711</v>
      </c>
      <c r="B16" s="105" t="s">
        <v>281</v>
      </c>
      <c r="C16" s="105">
        <v>10</v>
      </c>
      <c r="D16" s="114" t="s">
        <v>44</v>
      </c>
      <c r="E16" s="92">
        <v>711</v>
      </c>
      <c r="F16" s="102" t="s">
        <v>87</v>
      </c>
      <c r="G16" s="89" t="s">
        <v>47</v>
      </c>
      <c r="H16" s="93" t="s">
        <v>88</v>
      </c>
      <c r="I16" s="125" t="s">
        <v>49</v>
      </c>
      <c r="J16" s="89" t="s">
        <v>50</v>
      </c>
      <c r="K16" s="89" t="s">
        <v>89</v>
      </c>
      <c r="L16" s="89" t="s">
        <v>52</v>
      </c>
      <c r="M16" s="90">
        <v>0.50602280060228</v>
      </c>
      <c r="N16" s="90">
        <v>0.46927654692765403</v>
      </c>
      <c r="O16" s="115">
        <v>2.92</v>
      </c>
      <c r="P16" s="116">
        <v>119.65</v>
      </c>
      <c r="Q16" s="117">
        <v>54248</v>
      </c>
      <c r="R16" s="118">
        <f t="shared" si="0"/>
        <v>1808.2666666666667</v>
      </c>
      <c r="S16" s="94">
        <v>11</v>
      </c>
      <c r="T16" s="94">
        <f t="shared" si="1"/>
        <v>11</v>
      </c>
      <c r="U16" s="95">
        <v>349</v>
      </c>
      <c r="V16" s="96">
        <v>1</v>
      </c>
      <c r="W16" s="96">
        <v>30</v>
      </c>
      <c r="X16" s="94">
        <v>280</v>
      </c>
      <c r="Y16" s="94">
        <f t="shared" si="2"/>
        <v>92400</v>
      </c>
      <c r="Z16" s="101">
        <v>0.5</v>
      </c>
      <c r="AA16" s="101">
        <v>0.5</v>
      </c>
      <c r="AB16" s="97">
        <f t="shared" si="15"/>
        <v>2237730</v>
      </c>
      <c r="AC16" s="98">
        <f t="shared" si="3"/>
        <v>10470</v>
      </c>
      <c r="AD16" s="98">
        <f t="shared" si="4"/>
        <v>3.6027134640908423</v>
      </c>
      <c r="AE16" s="104">
        <f t="shared" si="5"/>
        <v>0.23</v>
      </c>
      <c r="AF16" s="99">
        <f t="shared" si="6"/>
        <v>8061.9000000000005</v>
      </c>
      <c r="AG16" s="95">
        <f t="shared" si="7"/>
        <v>944.44444444444446</v>
      </c>
      <c r="AH16" s="100">
        <f t="shared" si="8"/>
        <v>0.86217751260731201</v>
      </c>
      <c r="AI16" s="100">
        <f t="shared" si="9"/>
        <v>0.56217751260731197</v>
      </c>
      <c r="AJ16" s="95">
        <f t="shared" si="10"/>
        <v>5908.1705555555563</v>
      </c>
      <c r="AK16" s="98">
        <f t="shared" si="11"/>
        <v>3852.3860555555566</v>
      </c>
      <c r="AL16" s="98">
        <f t="shared" si="12"/>
        <v>1027.8922500000001</v>
      </c>
      <c r="AM16" s="101">
        <f t="shared" si="13"/>
        <v>0.15</v>
      </c>
      <c r="AN16" s="98">
        <f t="shared" si="14"/>
        <v>1027.8922500000001</v>
      </c>
    </row>
    <row r="17" spans="1:40" x14ac:dyDescent="0.2">
      <c r="A17" s="92">
        <v>725</v>
      </c>
      <c r="B17" s="105" t="s">
        <v>281</v>
      </c>
      <c r="C17" s="105">
        <v>11</v>
      </c>
      <c r="D17" s="114" t="s">
        <v>44</v>
      </c>
      <c r="E17" s="92">
        <v>725</v>
      </c>
      <c r="F17" s="102" t="s">
        <v>91</v>
      </c>
      <c r="G17" s="89" t="s">
        <v>55</v>
      </c>
      <c r="H17" s="93" t="s">
        <v>92</v>
      </c>
      <c r="I17" s="125" t="s">
        <v>49</v>
      </c>
      <c r="J17" s="89" t="s">
        <v>50</v>
      </c>
      <c r="K17" s="89" t="s">
        <v>93</v>
      </c>
      <c r="L17" s="89" t="s">
        <v>52</v>
      </c>
      <c r="M17" s="90">
        <v>0.63350820781858097</v>
      </c>
      <c r="N17" s="90">
        <v>0.34022677271958002</v>
      </c>
      <c r="O17" s="115">
        <v>2.89</v>
      </c>
      <c r="P17" s="116">
        <v>83.95</v>
      </c>
      <c r="Q17" s="117">
        <v>55951</v>
      </c>
      <c r="R17" s="118">
        <f t="shared" si="0"/>
        <v>1865.0333333333333</v>
      </c>
      <c r="S17" s="94">
        <v>11</v>
      </c>
      <c r="T17" s="94">
        <f t="shared" si="1"/>
        <v>11</v>
      </c>
      <c r="U17" s="95">
        <v>349</v>
      </c>
      <c r="V17" s="96">
        <v>1</v>
      </c>
      <c r="W17" s="96">
        <v>30</v>
      </c>
      <c r="X17" s="94">
        <v>280</v>
      </c>
      <c r="Y17" s="94">
        <f t="shared" si="2"/>
        <v>92400</v>
      </c>
      <c r="Z17" s="101">
        <v>0.5</v>
      </c>
      <c r="AA17" s="101">
        <v>0.5</v>
      </c>
      <c r="AB17" s="97">
        <f t="shared" si="15"/>
        <v>2307978.75</v>
      </c>
      <c r="AC17" s="98">
        <f t="shared" si="3"/>
        <v>10470</v>
      </c>
      <c r="AD17" s="98">
        <f t="shared" si="4"/>
        <v>3.4930564243713249</v>
      </c>
      <c r="AE17" s="104">
        <f t="shared" si="5"/>
        <v>0.23</v>
      </c>
      <c r="AF17" s="99">
        <f t="shared" si="6"/>
        <v>8061.9000000000005</v>
      </c>
      <c r="AG17" s="95">
        <f t="shared" si="7"/>
        <v>944.44444444444446</v>
      </c>
      <c r="AH17" s="100">
        <f t="shared" si="8"/>
        <v>0.86217751260731201</v>
      </c>
      <c r="AI17" s="100">
        <f t="shared" si="9"/>
        <v>0.56217751260731197</v>
      </c>
      <c r="AJ17" s="95">
        <f t="shared" si="10"/>
        <v>5908.1705555555563</v>
      </c>
      <c r="AK17" s="98">
        <f t="shared" si="11"/>
        <v>3852.3860555555566</v>
      </c>
      <c r="AL17" s="98">
        <f t="shared" si="12"/>
        <v>1027.8922500000001</v>
      </c>
      <c r="AM17" s="101">
        <f t="shared" si="13"/>
        <v>0.15</v>
      </c>
      <c r="AN17" s="98">
        <f t="shared" si="14"/>
        <v>1027.8922500000001</v>
      </c>
    </row>
    <row r="18" spans="1:40" x14ac:dyDescent="0.2">
      <c r="A18" s="92">
        <v>733</v>
      </c>
      <c r="B18" s="105" t="s">
        <v>281</v>
      </c>
      <c r="C18" s="105">
        <v>12</v>
      </c>
      <c r="D18" s="114" t="s">
        <v>44</v>
      </c>
      <c r="E18" s="92">
        <v>733</v>
      </c>
      <c r="F18" s="102" t="s">
        <v>95</v>
      </c>
      <c r="G18" s="89" t="s">
        <v>55</v>
      </c>
      <c r="H18" s="93" t="s">
        <v>96</v>
      </c>
      <c r="I18" s="125" t="s">
        <v>49</v>
      </c>
      <c r="J18" s="89" t="s">
        <v>50</v>
      </c>
      <c r="K18" s="89" t="s">
        <v>97</v>
      </c>
      <c r="L18" s="89" t="s">
        <v>52</v>
      </c>
      <c r="M18" s="90">
        <v>0.64451420029895301</v>
      </c>
      <c r="N18" s="90">
        <v>0.32588938714499199</v>
      </c>
      <c r="O18" s="115">
        <v>2.35</v>
      </c>
      <c r="P18" s="116">
        <v>103.64</v>
      </c>
      <c r="Q18" s="117">
        <v>42551</v>
      </c>
      <c r="R18" s="118">
        <f t="shared" si="0"/>
        <v>1418.3666666666666</v>
      </c>
      <c r="S18" s="94">
        <v>16</v>
      </c>
      <c r="T18" s="94">
        <f t="shared" si="1"/>
        <v>16</v>
      </c>
      <c r="U18" s="95">
        <v>349</v>
      </c>
      <c r="V18" s="96">
        <v>1</v>
      </c>
      <c r="W18" s="96">
        <v>30</v>
      </c>
      <c r="X18" s="94">
        <v>280</v>
      </c>
      <c r="Y18" s="94">
        <f t="shared" si="2"/>
        <v>134400</v>
      </c>
      <c r="Z18" s="101">
        <v>0.5</v>
      </c>
      <c r="AA18" s="101">
        <v>0.5</v>
      </c>
      <c r="AB18" s="97">
        <f t="shared" si="15"/>
        <v>2553060</v>
      </c>
      <c r="AC18" s="98">
        <f t="shared" si="3"/>
        <v>10470</v>
      </c>
      <c r="AD18" s="98">
        <f t="shared" si="4"/>
        <v>3.1577401236163665</v>
      </c>
      <c r="AE18" s="104">
        <f t="shared" si="5"/>
        <v>0.23</v>
      </c>
      <c r="AF18" s="99">
        <f t="shared" si="6"/>
        <v>8061.9000000000005</v>
      </c>
      <c r="AG18" s="95">
        <f t="shared" si="7"/>
        <v>944.44444444444446</v>
      </c>
      <c r="AH18" s="100">
        <f t="shared" si="8"/>
        <v>0.86217751260731201</v>
      </c>
      <c r="AI18" s="100">
        <f t="shared" si="9"/>
        <v>0.56217751260731197</v>
      </c>
      <c r="AJ18" s="95">
        <f t="shared" si="10"/>
        <v>5908.1705555555563</v>
      </c>
      <c r="AK18" s="98">
        <f t="shared" si="11"/>
        <v>3852.3860555555566</v>
      </c>
      <c r="AL18" s="98">
        <f t="shared" si="12"/>
        <v>1027.8922500000001</v>
      </c>
      <c r="AM18" s="101">
        <f t="shared" si="13"/>
        <v>0.15</v>
      </c>
      <c r="AN18" s="98">
        <f t="shared" si="14"/>
        <v>1027.8922500000001</v>
      </c>
    </row>
    <row r="19" spans="1:40" x14ac:dyDescent="0.2">
      <c r="A19" s="92">
        <v>722</v>
      </c>
      <c r="B19" s="105" t="s">
        <v>281</v>
      </c>
      <c r="C19" s="105">
        <v>13</v>
      </c>
      <c r="D19" s="114" t="s">
        <v>44</v>
      </c>
      <c r="E19" s="92">
        <v>722</v>
      </c>
      <c r="F19" s="102" t="s">
        <v>99</v>
      </c>
      <c r="G19" s="89" t="s">
        <v>55</v>
      </c>
      <c r="H19" s="93" t="s">
        <v>100</v>
      </c>
      <c r="I19" s="125" t="s">
        <v>49</v>
      </c>
      <c r="J19" s="89" t="s">
        <v>50</v>
      </c>
      <c r="K19" s="89" t="s">
        <v>101</v>
      </c>
      <c r="L19" s="89" t="s">
        <v>52</v>
      </c>
      <c r="M19" s="90">
        <v>0.546557363474516</v>
      </c>
      <c r="N19" s="90">
        <v>0.42313584233842499</v>
      </c>
      <c r="O19" s="115">
        <v>3.35</v>
      </c>
      <c r="P19" s="116">
        <v>136.13999999999999</v>
      </c>
      <c r="Q19" s="117">
        <v>42194</v>
      </c>
      <c r="R19" s="118">
        <f t="shared" si="0"/>
        <v>1406.4666666666667</v>
      </c>
      <c r="S19" s="94">
        <v>16</v>
      </c>
      <c r="T19" s="94">
        <f t="shared" si="1"/>
        <v>16</v>
      </c>
      <c r="U19" s="95">
        <v>349</v>
      </c>
      <c r="V19" s="96">
        <v>1</v>
      </c>
      <c r="W19" s="96">
        <v>30</v>
      </c>
      <c r="X19" s="94">
        <v>280</v>
      </c>
      <c r="Y19" s="94">
        <f t="shared" si="2"/>
        <v>134400</v>
      </c>
      <c r="Z19" s="101">
        <v>0.5</v>
      </c>
      <c r="AA19" s="101">
        <v>0.5</v>
      </c>
      <c r="AB19" s="97">
        <f t="shared" si="15"/>
        <v>2531640</v>
      </c>
      <c r="AC19" s="98">
        <f t="shared" si="3"/>
        <v>10470</v>
      </c>
      <c r="AD19" s="98">
        <f t="shared" si="4"/>
        <v>3.1844575058065132</v>
      </c>
      <c r="AE19" s="104">
        <f t="shared" si="5"/>
        <v>0.23</v>
      </c>
      <c r="AF19" s="99">
        <f t="shared" si="6"/>
        <v>8061.9000000000005</v>
      </c>
      <c r="AG19" s="95">
        <f t="shared" si="7"/>
        <v>944.44444444444446</v>
      </c>
      <c r="AH19" s="100">
        <f t="shared" si="8"/>
        <v>0.86217751260731201</v>
      </c>
      <c r="AI19" s="100">
        <f t="shared" si="9"/>
        <v>0.56217751260731197</v>
      </c>
      <c r="AJ19" s="95">
        <f t="shared" si="10"/>
        <v>5908.1705555555563</v>
      </c>
      <c r="AK19" s="98">
        <f t="shared" si="11"/>
        <v>3852.3860555555566</v>
      </c>
      <c r="AL19" s="98">
        <f t="shared" si="12"/>
        <v>1027.8922500000001</v>
      </c>
      <c r="AM19" s="101">
        <f t="shared" si="13"/>
        <v>0.15</v>
      </c>
      <c r="AN19" s="98">
        <f t="shared" si="14"/>
        <v>1027.8922500000001</v>
      </c>
    </row>
    <row r="20" spans="1:40" x14ac:dyDescent="0.2">
      <c r="A20" s="92">
        <v>710</v>
      </c>
      <c r="B20" s="105" t="s">
        <v>281</v>
      </c>
      <c r="C20" s="105">
        <v>14</v>
      </c>
      <c r="D20" s="114" t="s">
        <v>44</v>
      </c>
      <c r="E20" s="92">
        <v>710</v>
      </c>
      <c r="F20" s="102" t="s">
        <v>103</v>
      </c>
      <c r="G20" s="89" t="s">
        <v>55</v>
      </c>
      <c r="H20" s="93" t="s">
        <v>104</v>
      </c>
      <c r="I20" s="125" t="s">
        <v>49</v>
      </c>
      <c r="J20" s="89" t="s">
        <v>50</v>
      </c>
      <c r="K20" s="89" t="s">
        <v>105</v>
      </c>
      <c r="L20" s="89" t="s">
        <v>52</v>
      </c>
      <c r="M20" s="90">
        <v>0.51362048063895005</v>
      </c>
      <c r="N20" s="90">
        <v>0.46134921200884199</v>
      </c>
      <c r="O20" s="115">
        <v>2.86</v>
      </c>
      <c r="P20" s="116">
        <v>134.41999999999999</v>
      </c>
      <c r="Q20" s="117">
        <v>39377</v>
      </c>
      <c r="R20" s="118">
        <f t="shared" si="0"/>
        <v>1312.5666666666666</v>
      </c>
      <c r="S20" s="94">
        <v>14</v>
      </c>
      <c r="T20" s="94">
        <f t="shared" si="1"/>
        <v>14</v>
      </c>
      <c r="U20" s="95">
        <v>349</v>
      </c>
      <c r="V20" s="96">
        <v>1</v>
      </c>
      <c r="W20" s="96">
        <v>30</v>
      </c>
      <c r="X20" s="94">
        <v>280</v>
      </c>
      <c r="Y20" s="94">
        <f t="shared" si="2"/>
        <v>117600</v>
      </c>
      <c r="Z20" s="101">
        <v>0.5</v>
      </c>
      <c r="AA20" s="101">
        <v>0.5</v>
      </c>
      <c r="AB20" s="97">
        <f t="shared" si="15"/>
        <v>2067292.5</v>
      </c>
      <c r="AC20" s="98">
        <f t="shared" si="3"/>
        <v>10470</v>
      </c>
      <c r="AD20" s="98">
        <f t="shared" si="4"/>
        <v>3.8997384259847121</v>
      </c>
      <c r="AE20" s="104">
        <f t="shared" si="5"/>
        <v>0.23</v>
      </c>
      <c r="AF20" s="99">
        <f t="shared" si="6"/>
        <v>8061.9000000000005</v>
      </c>
      <c r="AG20" s="95">
        <f t="shared" si="7"/>
        <v>944.44444444444446</v>
      </c>
      <c r="AH20" s="100">
        <f t="shared" si="8"/>
        <v>0.86217751260731201</v>
      </c>
      <c r="AI20" s="100">
        <f t="shared" si="9"/>
        <v>0.56217751260731197</v>
      </c>
      <c r="AJ20" s="95">
        <f t="shared" si="10"/>
        <v>5908.1705555555563</v>
      </c>
      <c r="AK20" s="98">
        <f t="shared" si="11"/>
        <v>3852.3860555555566</v>
      </c>
      <c r="AL20" s="98">
        <f t="shared" si="12"/>
        <v>1027.8922500000001</v>
      </c>
      <c r="AM20" s="101">
        <f t="shared" si="13"/>
        <v>0.15</v>
      </c>
      <c r="AN20" s="98">
        <f t="shared" si="14"/>
        <v>1027.8922500000001</v>
      </c>
    </row>
    <row r="21" spans="1:40" x14ac:dyDescent="0.2">
      <c r="A21" s="92">
        <v>707</v>
      </c>
      <c r="B21" s="105" t="s">
        <v>281</v>
      </c>
      <c r="C21" s="105">
        <v>15</v>
      </c>
      <c r="D21" s="114" t="s">
        <v>44</v>
      </c>
      <c r="E21" s="92">
        <v>707</v>
      </c>
      <c r="F21" s="102" t="s">
        <v>107</v>
      </c>
      <c r="G21" s="89" t="s">
        <v>55</v>
      </c>
      <c r="H21" s="93" t="s">
        <v>108</v>
      </c>
      <c r="I21" s="125" t="s">
        <v>49</v>
      </c>
      <c r="J21" s="89" t="s">
        <v>50</v>
      </c>
      <c r="K21" s="89" t="s">
        <v>109</v>
      </c>
      <c r="L21" s="89" t="s">
        <v>52</v>
      </c>
      <c r="M21" s="90">
        <v>0.51807185150205204</v>
      </c>
      <c r="N21" s="90">
        <v>0.45588288713719999</v>
      </c>
      <c r="O21" s="115">
        <v>2.84</v>
      </c>
      <c r="P21" s="116">
        <v>120.57</v>
      </c>
      <c r="Q21" s="117">
        <v>39766</v>
      </c>
      <c r="R21" s="118">
        <f t="shared" si="0"/>
        <v>1325.5333333333333</v>
      </c>
      <c r="S21" s="94">
        <v>16</v>
      </c>
      <c r="T21" s="94">
        <f t="shared" si="1"/>
        <v>16</v>
      </c>
      <c r="U21" s="95">
        <v>349</v>
      </c>
      <c r="V21" s="96">
        <v>1</v>
      </c>
      <c r="W21" s="96">
        <v>30</v>
      </c>
      <c r="X21" s="94">
        <v>280</v>
      </c>
      <c r="Y21" s="94">
        <f t="shared" si="2"/>
        <v>134400</v>
      </c>
      <c r="Z21" s="101">
        <v>0.5</v>
      </c>
      <c r="AA21" s="101">
        <v>0.5</v>
      </c>
      <c r="AB21" s="97">
        <f t="shared" si="15"/>
        <v>2385960</v>
      </c>
      <c r="AC21" s="98">
        <f t="shared" si="3"/>
        <v>10470</v>
      </c>
      <c r="AD21" s="98">
        <f t="shared" si="4"/>
        <v>3.3788915153648849</v>
      </c>
      <c r="AE21" s="104">
        <f t="shared" si="5"/>
        <v>0.23</v>
      </c>
      <c r="AF21" s="99">
        <f t="shared" si="6"/>
        <v>8061.9000000000005</v>
      </c>
      <c r="AG21" s="95">
        <f t="shared" si="7"/>
        <v>944.44444444444446</v>
      </c>
      <c r="AH21" s="100">
        <f t="shared" si="8"/>
        <v>0.86217751260731201</v>
      </c>
      <c r="AI21" s="100">
        <f t="shared" si="9"/>
        <v>0.56217751260731197</v>
      </c>
      <c r="AJ21" s="95">
        <f t="shared" si="10"/>
        <v>5908.1705555555563</v>
      </c>
      <c r="AK21" s="98">
        <f t="shared" si="11"/>
        <v>3852.3860555555566</v>
      </c>
      <c r="AL21" s="98">
        <f t="shared" si="12"/>
        <v>1027.8922500000001</v>
      </c>
      <c r="AM21" s="101">
        <f t="shared" si="13"/>
        <v>0.15</v>
      </c>
      <c r="AN21" s="98">
        <f t="shared" si="14"/>
        <v>1027.8922500000001</v>
      </c>
    </row>
    <row r="22" spans="1:40" x14ac:dyDescent="0.2">
      <c r="A22" s="92">
        <v>702</v>
      </c>
      <c r="B22" s="105" t="s">
        <v>281</v>
      </c>
      <c r="C22" s="105">
        <v>16</v>
      </c>
      <c r="D22" s="114" t="s">
        <v>44</v>
      </c>
      <c r="E22" s="92">
        <v>702</v>
      </c>
      <c r="F22" s="102" t="s">
        <v>111</v>
      </c>
      <c r="G22" s="89" t="s">
        <v>47</v>
      </c>
      <c r="H22" s="93" t="s">
        <v>112</v>
      </c>
      <c r="I22" s="125" t="s">
        <v>49</v>
      </c>
      <c r="J22" s="89" t="s">
        <v>50</v>
      </c>
      <c r="K22" s="89" t="s">
        <v>113</v>
      </c>
      <c r="L22" s="89" t="s">
        <v>52</v>
      </c>
      <c r="M22" s="90">
        <v>0.51807185150205204</v>
      </c>
      <c r="N22" s="90">
        <v>0.45588288713719999</v>
      </c>
      <c r="O22" s="115">
        <v>2.2000000000000002</v>
      </c>
      <c r="P22" s="116">
        <v>173.43</v>
      </c>
      <c r="Q22" s="117">
        <v>53358</v>
      </c>
      <c r="R22" s="118">
        <f t="shared" ref="R22:R45" si="16">Q21/30</f>
        <v>1325.5333333333333</v>
      </c>
      <c r="S22" s="94">
        <v>21</v>
      </c>
      <c r="T22" s="94">
        <f t="shared" si="1"/>
        <v>21</v>
      </c>
      <c r="U22" s="95">
        <v>349</v>
      </c>
      <c r="V22" s="96">
        <v>1</v>
      </c>
      <c r="W22" s="96">
        <v>30</v>
      </c>
      <c r="X22" s="94">
        <v>280</v>
      </c>
      <c r="Y22" s="94">
        <f t="shared" si="2"/>
        <v>176400</v>
      </c>
      <c r="Z22" s="101">
        <v>0.5</v>
      </c>
      <c r="AA22" s="101">
        <v>0.5</v>
      </c>
      <c r="AB22" s="97">
        <f t="shared" si="15"/>
        <v>3131572.5</v>
      </c>
      <c r="AC22" s="98">
        <f t="shared" si="3"/>
        <v>10470</v>
      </c>
      <c r="AD22" s="98">
        <f t="shared" si="4"/>
        <v>2.5743935355161027</v>
      </c>
      <c r="AE22" s="104">
        <f t="shared" si="5"/>
        <v>0.23</v>
      </c>
      <c r="AF22" s="99">
        <f t="shared" si="6"/>
        <v>8061.9000000000005</v>
      </c>
      <c r="AG22" s="95">
        <f t="shared" si="7"/>
        <v>944.44444444444446</v>
      </c>
      <c r="AH22" s="100">
        <f t="shared" si="8"/>
        <v>0.86217751260731201</v>
      </c>
      <c r="AI22" s="100">
        <f t="shared" si="9"/>
        <v>0.56217751260731197</v>
      </c>
      <c r="AJ22" s="95">
        <f t="shared" si="10"/>
        <v>5908.1705555555563</v>
      </c>
      <c r="AK22" s="98">
        <f t="shared" si="11"/>
        <v>3852.3860555555566</v>
      </c>
      <c r="AL22" s="98">
        <f t="shared" si="12"/>
        <v>1027.8922500000001</v>
      </c>
      <c r="AM22" s="101">
        <f t="shared" si="13"/>
        <v>0.15</v>
      </c>
      <c r="AN22" s="98">
        <f t="shared" si="14"/>
        <v>1027.8922500000001</v>
      </c>
    </row>
    <row r="23" spans="1:40" x14ac:dyDescent="0.2">
      <c r="A23" s="92">
        <v>704</v>
      </c>
      <c r="B23" s="105" t="s">
        <v>281</v>
      </c>
      <c r="C23" s="105">
        <v>17</v>
      </c>
      <c r="D23" s="114" t="s">
        <v>44</v>
      </c>
      <c r="E23" s="92">
        <v>704</v>
      </c>
      <c r="F23" s="102" t="s">
        <v>282</v>
      </c>
      <c r="G23" s="89" t="s">
        <v>55</v>
      </c>
      <c r="H23" s="93" t="s">
        <v>283</v>
      </c>
      <c r="I23" s="125" t="s">
        <v>49</v>
      </c>
      <c r="J23" s="89" t="s">
        <v>50</v>
      </c>
      <c r="K23" s="89" t="s">
        <v>284</v>
      </c>
      <c r="L23" s="89" t="s">
        <v>52</v>
      </c>
      <c r="M23" s="90">
        <v>0.57999999999999996</v>
      </c>
      <c r="N23" s="90">
        <v>0.3666666666666667</v>
      </c>
      <c r="O23" s="115">
        <v>1.1136756965657229</v>
      </c>
      <c r="P23" s="116">
        <v>93</v>
      </c>
      <c r="Q23" s="117">
        <v>41916.333333333336</v>
      </c>
      <c r="R23" s="118">
        <f t="shared" si="16"/>
        <v>1778.6</v>
      </c>
      <c r="S23" s="94">
        <v>9</v>
      </c>
      <c r="T23" s="94">
        <f t="shared" si="1"/>
        <v>9</v>
      </c>
      <c r="U23" s="95">
        <v>349</v>
      </c>
      <c r="V23" s="96">
        <v>1</v>
      </c>
      <c r="W23" s="96">
        <v>30</v>
      </c>
      <c r="X23" s="94">
        <v>280</v>
      </c>
      <c r="Y23" s="94">
        <f t="shared" si="2"/>
        <v>75600</v>
      </c>
      <c r="Z23" s="101">
        <v>0.5</v>
      </c>
      <c r="AA23" s="101">
        <v>0.5</v>
      </c>
      <c r="AB23" s="97">
        <f t="shared" si="15"/>
        <v>1800832.5</v>
      </c>
      <c r="AC23" s="98">
        <f t="shared" si="3"/>
        <v>10470</v>
      </c>
      <c r="AD23" s="98">
        <f t="shared" si="4"/>
        <v>4.4767628305242164</v>
      </c>
      <c r="AE23" s="104">
        <f t="shared" si="5"/>
        <v>0.23</v>
      </c>
      <c r="AF23" s="99">
        <f t="shared" si="6"/>
        <v>8061.9000000000005</v>
      </c>
      <c r="AG23" s="95">
        <f t="shared" si="7"/>
        <v>944.44444444444446</v>
      </c>
      <c r="AH23" s="100">
        <f t="shared" si="8"/>
        <v>0.86217751260731201</v>
      </c>
      <c r="AI23" s="100">
        <f t="shared" si="9"/>
        <v>0.56217751260731197</v>
      </c>
      <c r="AJ23" s="95">
        <f t="shared" si="10"/>
        <v>5908.1705555555563</v>
      </c>
      <c r="AK23" s="98">
        <f t="shared" si="11"/>
        <v>3852.3860555555566</v>
      </c>
      <c r="AL23" s="98">
        <f t="shared" si="12"/>
        <v>1027.8922500000001</v>
      </c>
      <c r="AM23" s="101">
        <f t="shared" si="13"/>
        <v>0.15</v>
      </c>
      <c r="AN23" s="98">
        <f t="shared" si="14"/>
        <v>1027.8922500000001</v>
      </c>
    </row>
    <row r="24" spans="1:40" x14ac:dyDescent="0.2">
      <c r="A24" s="92">
        <v>705</v>
      </c>
      <c r="B24" s="105" t="s">
        <v>281</v>
      </c>
      <c r="C24" s="105">
        <v>18</v>
      </c>
      <c r="D24" s="114" t="s">
        <v>44</v>
      </c>
      <c r="E24" s="92">
        <v>705</v>
      </c>
      <c r="F24" s="102" t="s">
        <v>285</v>
      </c>
      <c r="G24" s="89" t="s">
        <v>55</v>
      </c>
      <c r="H24" s="93" t="s">
        <v>286</v>
      </c>
      <c r="I24" s="125" t="s">
        <v>49</v>
      </c>
      <c r="J24" s="89" t="s">
        <v>50</v>
      </c>
      <c r="K24" s="89" t="s">
        <v>287</v>
      </c>
      <c r="L24" s="89" t="s">
        <v>52</v>
      </c>
      <c r="M24" s="90">
        <v>0.53500000000000003</v>
      </c>
      <c r="N24" s="90">
        <v>0.4200000000000001</v>
      </c>
      <c r="O24" s="115">
        <v>1.1024146342318846</v>
      </c>
      <c r="P24" s="116">
        <v>97.666666669999998</v>
      </c>
      <c r="Q24" s="117">
        <v>50696</v>
      </c>
      <c r="R24" s="118">
        <f t="shared" si="16"/>
        <v>1397.2111111111112</v>
      </c>
      <c r="S24" s="94">
        <v>10</v>
      </c>
      <c r="T24" s="94">
        <f t="shared" si="1"/>
        <v>10</v>
      </c>
      <c r="U24" s="95">
        <v>349</v>
      </c>
      <c r="V24" s="96">
        <v>1</v>
      </c>
      <c r="W24" s="96">
        <v>30</v>
      </c>
      <c r="X24" s="94">
        <v>280</v>
      </c>
      <c r="Y24" s="94">
        <f t="shared" si="2"/>
        <v>84000</v>
      </c>
      <c r="Z24" s="101">
        <v>0.5</v>
      </c>
      <c r="AA24" s="101">
        <v>0.5</v>
      </c>
      <c r="AB24" s="97">
        <f t="shared" si="15"/>
        <v>1571862.5</v>
      </c>
      <c r="AC24" s="98">
        <f t="shared" si="3"/>
        <v>10470</v>
      </c>
      <c r="AD24" s="98">
        <f t="shared" si="4"/>
        <v>5.1288837286976445</v>
      </c>
      <c r="AE24" s="104">
        <f t="shared" si="5"/>
        <v>0.23</v>
      </c>
      <c r="AF24" s="99">
        <f t="shared" si="6"/>
        <v>8061.9000000000005</v>
      </c>
      <c r="AG24" s="95">
        <f t="shared" si="7"/>
        <v>944.44444444444446</v>
      </c>
      <c r="AH24" s="100">
        <f t="shared" si="8"/>
        <v>0.86217751260731201</v>
      </c>
      <c r="AI24" s="100">
        <f t="shared" si="9"/>
        <v>0.56217751260731197</v>
      </c>
      <c r="AJ24" s="95">
        <f t="shared" si="10"/>
        <v>5908.1705555555563</v>
      </c>
      <c r="AK24" s="98">
        <f t="shared" si="11"/>
        <v>3852.3860555555566</v>
      </c>
      <c r="AL24" s="98">
        <f t="shared" si="12"/>
        <v>1027.8922500000001</v>
      </c>
      <c r="AM24" s="101">
        <f t="shared" si="13"/>
        <v>0.15</v>
      </c>
      <c r="AN24" s="98">
        <f t="shared" si="14"/>
        <v>1027.8922500000001</v>
      </c>
    </row>
    <row r="25" spans="1:40" x14ac:dyDescent="0.2">
      <c r="A25" s="92">
        <v>706</v>
      </c>
      <c r="B25" s="122">
        <v>46230</v>
      </c>
      <c r="C25" s="105">
        <v>19</v>
      </c>
      <c r="D25" s="114" t="s">
        <v>44</v>
      </c>
      <c r="E25" s="92">
        <v>706</v>
      </c>
      <c r="F25" s="102" t="s">
        <v>288</v>
      </c>
      <c r="G25" s="89" t="s">
        <v>55</v>
      </c>
      <c r="H25" s="93" t="s">
        <v>289</v>
      </c>
      <c r="I25" s="125" t="s">
        <v>49</v>
      </c>
      <c r="J25" s="89" t="s">
        <v>50</v>
      </c>
      <c r="K25" s="89" t="s">
        <v>290</v>
      </c>
      <c r="L25" s="89" t="s">
        <v>52</v>
      </c>
      <c r="M25" s="90">
        <v>0.505</v>
      </c>
      <c r="N25" s="90">
        <v>0.44500000000000001</v>
      </c>
      <c r="O25" s="115">
        <v>1.0983104441876359</v>
      </c>
      <c r="P25" s="116">
        <v>89.333333333333329</v>
      </c>
      <c r="Q25" s="117">
        <v>48286.666666666664</v>
      </c>
      <c r="R25" s="118">
        <f t="shared" si="16"/>
        <v>1689.8666666666666</v>
      </c>
      <c r="S25" s="94">
        <v>9</v>
      </c>
      <c r="T25" s="94">
        <f t="shared" si="1"/>
        <v>9</v>
      </c>
      <c r="U25" s="95">
        <v>349</v>
      </c>
      <c r="V25" s="96">
        <v>1</v>
      </c>
      <c r="W25" s="96">
        <v>30</v>
      </c>
      <c r="X25" s="94">
        <v>280</v>
      </c>
      <c r="Y25" s="94">
        <f t="shared" si="2"/>
        <v>75600</v>
      </c>
      <c r="Z25" s="101">
        <v>0.5</v>
      </c>
      <c r="AA25" s="101">
        <v>0.5</v>
      </c>
      <c r="AB25" s="97">
        <f t="shared" si="15"/>
        <v>1710990</v>
      </c>
      <c r="AC25" s="98">
        <f t="shared" si="3"/>
        <v>10470</v>
      </c>
      <c r="AD25" s="98">
        <f t="shared" si="4"/>
        <v>4.7118334999035651</v>
      </c>
      <c r="AE25" s="104">
        <f t="shared" si="5"/>
        <v>0.23</v>
      </c>
      <c r="AF25" s="99">
        <f t="shared" si="6"/>
        <v>8061.9000000000005</v>
      </c>
      <c r="AG25" s="95">
        <f t="shared" si="7"/>
        <v>944.44444444444446</v>
      </c>
      <c r="AH25" s="100">
        <f t="shared" si="8"/>
        <v>0.86217751260731201</v>
      </c>
      <c r="AI25" s="100">
        <f t="shared" si="9"/>
        <v>0.56217751260731197</v>
      </c>
      <c r="AJ25" s="95">
        <f t="shared" si="10"/>
        <v>5908.1705555555563</v>
      </c>
      <c r="AK25" s="98">
        <f t="shared" si="11"/>
        <v>3852.3860555555566</v>
      </c>
      <c r="AL25" s="98">
        <f t="shared" si="12"/>
        <v>1027.8922500000001</v>
      </c>
      <c r="AM25" s="101">
        <f t="shared" si="13"/>
        <v>0.15</v>
      </c>
      <c r="AN25" s="98">
        <f t="shared" si="14"/>
        <v>1027.8922500000001</v>
      </c>
    </row>
    <row r="26" spans="1:40" x14ac:dyDescent="0.2">
      <c r="A26" s="92">
        <v>708</v>
      </c>
      <c r="B26" s="122">
        <v>46237</v>
      </c>
      <c r="C26" s="105">
        <v>20</v>
      </c>
      <c r="D26" s="114" t="s">
        <v>44</v>
      </c>
      <c r="E26" s="92">
        <v>708</v>
      </c>
      <c r="F26" s="102" t="s">
        <v>291</v>
      </c>
      <c r="G26" s="89" t="s">
        <v>55</v>
      </c>
      <c r="H26" s="93" t="s">
        <v>292</v>
      </c>
      <c r="I26" s="125" t="s">
        <v>49</v>
      </c>
      <c r="J26" s="89" t="s">
        <v>50</v>
      </c>
      <c r="K26" s="89" t="s">
        <v>293</v>
      </c>
      <c r="L26" s="89" t="s">
        <v>52</v>
      </c>
      <c r="M26" s="90">
        <v>0.52666666666666673</v>
      </c>
      <c r="N26" s="90">
        <v>0.40166666666666667</v>
      </c>
      <c r="O26" s="115">
        <v>1.0976776251529479</v>
      </c>
      <c r="P26" s="116">
        <v>91.666666666666671</v>
      </c>
      <c r="Q26" s="117">
        <v>51323.333333333336</v>
      </c>
      <c r="R26" s="118">
        <f t="shared" si="16"/>
        <v>1609.5555555555554</v>
      </c>
      <c r="S26" s="94">
        <v>10</v>
      </c>
      <c r="T26" s="94">
        <f t="shared" si="1"/>
        <v>10</v>
      </c>
      <c r="U26" s="95">
        <v>349</v>
      </c>
      <c r="V26" s="96">
        <v>1</v>
      </c>
      <c r="W26" s="96">
        <v>30</v>
      </c>
      <c r="X26" s="94">
        <v>280</v>
      </c>
      <c r="Y26" s="94">
        <f t="shared" si="2"/>
        <v>84000</v>
      </c>
      <c r="Z26" s="101">
        <v>0.5</v>
      </c>
      <c r="AA26" s="101">
        <v>0.5</v>
      </c>
      <c r="AB26" s="97">
        <f t="shared" si="15"/>
        <v>1810750</v>
      </c>
      <c r="AC26" s="98">
        <f t="shared" si="3"/>
        <v>10470</v>
      </c>
      <c r="AD26" s="98">
        <f t="shared" si="4"/>
        <v>4.4522435454922</v>
      </c>
      <c r="AE26" s="104">
        <f t="shared" si="5"/>
        <v>0.23</v>
      </c>
      <c r="AF26" s="99">
        <f t="shared" si="6"/>
        <v>8061.9000000000005</v>
      </c>
      <c r="AG26" s="95">
        <f t="shared" si="7"/>
        <v>944.44444444444446</v>
      </c>
      <c r="AH26" s="100">
        <f t="shared" si="8"/>
        <v>0.86217751260731201</v>
      </c>
      <c r="AI26" s="100">
        <f t="shared" si="9"/>
        <v>0.56217751260731197</v>
      </c>
      <c r="AJ26" s="95">
        <f t="shared" si="10"/>
        <v>5908.1705555555563</v>
      </c>
      <c r="AK26" s="98">
        <f t="shared" si="11"/>
        <v>3852.3860555555566</v>
      </c>
      <c r="AL26" s="98">
        <f t="shared" si="12"/>
        <v>1027.8922500000001</v>
      </c>
      <c r="AM26" s="101">
        <f t="shared" si="13"/>
        <v>0.15</v>
      </c>
      <c r="AN26" s="98">
        <f t="shared" si="14"/>
        <v>1027.8922500000001</v>
      </c>
    </row>
    <row r="27" spans="1:40" x14ac:dyDescent="0.2">
      <c r="A27" s="92">
        <v>709</v>
      </c>
      <c r="B27" s="122" t="s">
        <v>281</v>
      </c>
      <c r="C27" s="105">
        <v>21</v>
      </c>
      <c r="D27" s="114" t="s">
        <v>44</v>
      </c>
      <c r="E27" s="92">
        <v>709</v>
      </c>
      <c r="F27" s="102" t="s">
        <v>294</v>
      </c>
      <c r="G27" s="89" t="s">
        <v>55</v>
      </c>
      <c r="H27" s="93" t="s">
        <v>295</v>
      </c>
      <c r="I27" s="125" t="s">
        <v>49</v>
      </c>
      <c r="J27" s="89" t="s">
        <v>50</v>
      </c>
      <c r="K27" s="89" t="s">
        <v>296</v>
      </c>
      <c r="L27" s="89" t="s">
        <v>52</v>
      </c>
      <c r="M27" s="90">
        <v>0.51666666666666672</v>
      </c>
      <c r="N27" s="90">
        <v>0.4383333333333333</v>
      </c>
      <c r="O27" s="115">
        <v>1.1065678046320313</v>
      </c>
      <c r="P27" s="116">
        <v>107</v>
      </c>
      <c r="Q27" s="117">
        <v>64855</v>
      </c>
      <c r="R27" s="118">
        <f t="shared" si="16"/>
        <v>1710.7777777777778</v>
      </c>
      <c r="S27" s="94">
        <v>10</v>
      </c>
      <c r="T27" s="94">
        <f t="shared" si="1"/>
        <v>10</v>
      </c>
      <c r="U27" s="95">
        <v>349</v>
      </c>
      <c r="V27" s="96">
        <v>1</v>
      </c>
      <c r="W27" s="96">
        <v>30</v>
      </c>
      <c r="X27" s="94">
        <v>280</v>
      </c>
      <c r="Y27" s="94">
        <f t="shared" si="2"/>
        <v>84000</v>
      </c>
      <c r="Z27" s="101">
        <v>0.5</v>
      </c>
      <c r="AA27" s="101">
        <v>0.5</v>
      </c>
      <c r="AB27" s="97">
        <f t="shared" si="15"/>
        <v>1924625</v>
      </c>
      <c r="AC27" s="98">
        <f t="shared" si="3"/>
        <v>10470</v>
      </c>
      <c r="AD27" s="98">
        <f t="shared" si="4"/>
        <v>4.1888160031174904</v>
      </c>
      <c r="AE27" s="104">
        <f t="shared" si="5"/>
        <v>0.23</v>
      </c>
      <c r="AF27" s="99">
        <f t="shared" si="6"/>
        <v>8061.9000000000005</v>
      </c>
      <c r="AG27" s="95">
        <f t="shared" si="7"/>
        <v>944.44444444444446</v>
      </c>
      <c r="AH27" s="100">
        <f t="shared" si="8"/>
        <v>0.86217751260731201</v>
      </c>
      <c r="AI27" s="100">
        <f t="shared" si="9"/>
        <v>0.56217751260731197</v>
      </c>
      <c r="AJ27" s="95">
        <f t="shared" si="10"/>
        <v>5908.1705555555563</v>
      </c>
      <c r="AK27" s="98">
        <f t="shared" si="11"/>
        <v>3852.3860555555566</v>
      </c>
      <c r="AL27" s="98">
        <f t="shared" si="12"/>
        <v>1027.8922500000001</v>
      </c>
      <c r="AM27" s="101">
        <f t="shared" si="13"/>
        <v>0.15</v>
      </c>
      <c r="AN27" s="98">
        <f t="shared" si="14"/>
        <v>1027.8922500000001</v>
      </c>
    </row>
    <row r="28" spans="1:40" x14ac:dyDescent="0.2">
      <c r="A28" s="92">
        <v>712</v>
      </c>
      <c r="B28" s="122">
        <v>46230</v>
      </c>
      <c r="C28" s="105">
        <v>22</v>
      </c>
      <c r="D28" s="114" t="s">
        <v>44</v>
      </c>
      <c r="E28" s="92">
        <v>712</v>
      </c>
      <c r="F28" s="102" t="s">
        <v>297</v>
      </c>
      <c r="G28" s="89" t="s">
        <v>55</v>
      </c>
      <c r="H28" s="93" t="s">
        <v>298</v>
      </c>
      <c r="I28" s="125" t="s">
        <v>49</v>
      </c>
      <c r="J28" s="89" t="s">
        <v>50</v>
      </c>
      <c r="K28" s="89" t="s">
        <v>299</v>
      </c>
      <c r="L28" s="89" t="s">
        <v>52</v>
      </c>
      <c r="M28" s="90">
        <v>0.51833333333333342</v>
      </c>
      <c r="N28" s="90">
        <v>0.44833333333333331</v>
      </c>
      <c r="O28" s="115">
        <v>1.1115567253267342</v>
      </c>
      <c r="P28" s="116">
        <v>114</v>
      </c>
      <c r="Q28" s="117">
        <v>49906</v>
      </c>
      <c r="R28" s="118">
        <f t="shared" si="16"/>
        <v>2161.8333333333335</v>
      </c>
      <c r="S28" s="94">
        <v>9</v>
      </c>
      <c r="T28" s="94">
        <f t="shared" si="1"/>
        <v>9</v>
      </c>
      <c r="U28" s="95">
        <v>349</v>
      </c>
      <c r="V28" s="96">
        <v>1</v>
      </c>
      <c r="W28" s="96">
        <v>30</v>
      </c>
      <c r="X28" s="94">
        <v>280</v>
      </c>
      <c r="Y28" s="94">
        <f t="shared" si="2"/>
        <v>75600</v>
      </c>
      <c r="Z28" s="101">
        <v>0.5</v>
      </c>
      <c r="AA28" s="101">
        <v>0.5</v>
      </c>
      <c r="AB28" s="97">
        <f t="shared" si="15"/>
        <v>2188856.2500000005</v>
      </c>
      <c r="AC28" s="98">
        <f t="shared" si="3"/>
        <v>10470</v>
      </c>
      <c r="AD28" s="98">
        <f t="shared" si="4"/>
        <v>3.6831564430053363</v>
      </c>
      <c r="AE28" s="104">
        <f t="shared" si="5"/>
        <v>0.23</v>
      </c>
      <c r="AF28" s="99">
        <f t="shared" si="6"/>
        <v>8061.9000000000005</v>
      </c>
      <c r="AG28" s="95">
        <f t="shared" si="7"/>
        <v>944.44444444444446</v>
      </c>
      <c r="AH28" s="100">
        <f t="shared" si="8"/>
        <v>0.86217751260731201</v>
      </c>
      <c r="AI28" s="100">
        <f t="shared" si="9"/>
        <v>0.56217751260731197</v>
      </c>
      <c r="AJ28" s="95">
        <f t="shared" si="10"/>
        <v>5908.1705555555563</v>
      </c>
      <c r="AK28" s="98">
        <f t="shared" si="11"/>
        <v>3852.3860555555566</v>
      </c>
      <c r="AL28" s="98">
        <f t="shared" si="12"/>
        <v>1027.8922500000001</v>
      </c>
      <c r="AM28" s="101">
        <f t="shared" si="13"/>
        <v>0.15</v>
      </c>
      <c r="AN28" s="98">
        <f t="shared" si="14"/>
        <v>1027.8922500000001</v>
      </c>
    </row>
    <row r="29" spans="1:40" x14ac:dyDescent="0.2">
      <c r="A29" s="92">
        <v>713</v>
      </c>
      <c r="B29" s="122">
        <v>46244</v>
      </c>
      <c r="C29" s="105">
        <v>23</v>
      </c>
      <c r="D29" s="114" t="s">
        <v>44</v>
      </c>
      <c r="E29" s="92">
        <v>713</v>
      </c>
      <c r="F29" s="102" t="s">
        <v>300</v>
      </c>
      <c r="G29" s="89" t="s">
        <v>55</v>
      </c>
      <c r="H29" s="93" t="s">
        <v>301</v>
      </c>
      <c r="I29" s="125" t="s">
        <v>49</v>
      </c>
      <c r="J29" s="89" t="s">
        <v>50</v>
      </c>
      <c r="K29" s="89" t="s">
        <v>302</v>
      </c>
      <c r="L29" s="89" t="s">
        <v>52</v>
      </c>
      <c r="M29" s="90">
        <v>0.50166666666666659</v>
      </c>
      <c r="N29" s="90">
        <v>0.45500000000000007</v>
      </c>
      <c r="O29" s="115">
        <v>1.1425107166278845</v>
      </c>
      <c r="P29" s="116">
        <v>117.33333333333333</v>
      </c>
      <c r="Q29" s="117">
        <v>44550</v>
      </c>
      <c r="R29" s="118">
        <f t="shared" si="16"/>
        <v>1663.5333333333333</v>
      </c>
      <c r="S29" s="94">
        <v>11</v>
      </c>
      <c r="T29" s="94">
        <f t="shared" si="1"/>
        <v>11</v>
      </c>
      <c r="U29" s="95">
        <v>349</v>
      </c>
      <c r="V29" s="96">
        <v>1</v>
      </c>
      <c r="W29" s="96">
        <v>30</v>
      </c>
      <c r="X29" s="94">
        <v>280</v>
      </c>
      <c r="Y29" s="94">
        <f t="shared" si="2"/>
        <v>92400</v>
      </c>
      <c r="Z29" s="101">
        <v>0.5</v>
      </c>
      <c r="AA29" s="101">
        <v>0.5</v>
      </c>
      <c r="AB29" s="97">
        <f t="shared" si="15"/>
        <v>2058622.5</v>
      </c>
      <c r="AC29" s="98">
        <f t="shared" si="3"/>
        <v>10470</v>
      </c>
      <c r="AD29" s="98">
        <f t="shared" si="4"/>
        <v>3.916162385284335</v>
      </c>
      <c r="AE29" s="104">
        <f t="shared" si="5"/>
        <v>0.23</v>
      </c>
      <c r="AF29" s="99">
        <f t="shared" si="6"/>
        <v>8061.9000000000005</v>
      </c>
      <c r="AG29" s="95">
        <f t="shared" si="7"/>
        <v>944.44444444444446</v>
      </c>
      <c r="AH29" s="100">
        <f t="shared" si="8"/>
        <v>0.86217751260731201</v>
      </c>
      <c r="AI29" s="100">
        <f t="shared" si="9"/>
        <v>0.56217751260731197</v>
      </c>
      <c r="AJ29" s="95">
        <f t="shared" si="10"/>
        <v>5908.1705555555563</v>
      </c>
      <c r="AK29" s="98">
        <f t="shared" si="11"/>
        <v>3852.3860555555566</v>
      </c>
      <c r="AL29" s="98">
        <f t="shared" si="12"/>
        <v>1027.8922500000001</v>
      </c>
      <c r="AM29" s="101">
        <f t="shared" si="13"/>
        <v>0.15</v>
      </c>
      <c r="AN29" s="98">
        <f t="shared" si="14"/>
        <v>1027.8922500000001</v>
      </c>
    </row>
    <row r="30" spans="1:40" x14ac:dyDescent="0.2">
      <c r="A30" s="92">
        <v>714</v>
      </c>
      <c r="B30" s="122">
        <v>46244</v>
      </c>
      <c r="C30" s="105">
        <v>24</v>
      </c>
      <c r="D30" s="114" t="s">
        <v>44</v>
      </c>
      <c r="E30" s="92">
        <v>714</v>
      </c>
      <c r="F30" s="102" t="s">
        <v>303</v>
      </c>
      <c r="G30" s="89" t="s">
        <v>55</v>
      </c>
      <c r="H30" s="93" t="s">
        <v>304</v>
      </c>
      <c r="I30" s="125" t="s">
        <v>49</v>
      </c>
      <c r="J30" s="89" t="s">
        <v>50</v>
      </c>
      <c r="K30" s="89" t="s">
        <v>305</v>
      </c>
      <c r="L30" s="89" t="s">
        <v>52</v>
      </c>
      <c r="M30" s="90">
        <v>0.42166666666666669</v>
      </c>
      <c r="N30" s="90">
        <v>0.52666666666666673</v>
      </c>
      <c r="O30" s="115">
        <v>1.1307719600881099</v>
      </c>
      <c r="P30" s="116">
        <v>85.666666666666671</v>
      </c>
      <c r="Q30" s="117">
        <v>40386.666666666664</v>
      </c>
      <c r="R30" s="118">
        <f t="shared" si="16"/>
        <v>1485</v>
      </c>
      <c r="S30" s="94">
        <v>10</v>
      </c>
      <c r="T30" s="94">
        <f t="shared" si="1"/>
        <v>10</v>
      </c>
      <c r="U30" s="95">
        <v>349</v>
      </c>
      <c r="V30" s="96">
        <v>1</v>
      </c>
      <c r="W30" s="96">
        <v>30</v>
      </c>
      <c r="X30" s="94">
        <v>280</v>
      </c>
      <c r="Y30" s="94">
        <f t="shared" si="2"/>
        <v>84000</v>
      </c>
      <c r="Z30" s="101">
        <v>0.5</v>
      </c>
      <c r="AA30" s="101">
        <v>0.5</v>
      </c>
      <c r="AB30" s="97">
        <f t="shared" si="15"/>
        <v>1670625</v>
      </c>
      <c r="AC30" s="98">
        <f t="shared" si="3"/>
        <v>10470</v>
      </c>
      <c r="AD30" s="98">
        <f t="shared" si="4"/>
        <v>4.8256790123456792</v>
      </c>
      <c r="AE30" s="104">
        <f t="shared" si="5"/>
        <v>0.23</v>
      </c>
      <c r="AF30" s="99">
        <f t="shared" si="6"/>
        <v>8061.9000000000005</v>
      </c>
      <c r="AG30" s="95">
        <f t="shared" si="7"/>
        <v>944.44444444444446</v>
      </c>
      <c r="AH30" s="100">
        <f t="shared" si="8"/>
        <v>0.86217751260731201</v>
      </c>
      <c r="AI30" s="100">
        <f t="shared" si="9"/>
        <v>0.56217751260731197</v>
      </c>
      <c r="AJ30" s="95">
        <f t="shared" si="10"/>
        <v>5908.1705555555563</v>
      </c>
      <c r="AK30" s="98">
        <f t="shared" si="11"/>
        <v>3852.3860555555566</v>
      </c>
      <c r="AL30" s="98">
        <f t="shared" si="12"/>
        <v>1027.8922500000001</v>
      </c>
      <c r="AM30" s="101">
        <f t="shared" si="13"/>
        <v>0.15</v>
      </c>
      <c r="AN30" s="98">
        <f t="shared" si="14"/>
        <v>1027.8922500000001</v>
      </c>
    </row>
    <row r="31" spans="1:40" x14ac:dyDescent="0.2">
      <c r="A31" s="92">
        <v>715</v>
      </c>
      <c r="B31" s="105" t="s">
        <v>281</v>
      </c>
      <c r="C31" s="105">
        <v>25</v>
      </c>
      <c r="D31" s="114" t="s">
        <v>44</v>
      </c>
      <c r="E31" s="92">
        <v>715</v>
      </c>
      <c r="F31" s="102" t="s">
        <v>306</v>
      </c>
      <c r="G31" s="89" t="s">
        <v>55</v>
      </c>
      <c r="H31" s="93" t="s">
        <v>307</v>
      </c>
      <c r="I31" s="125" t="s">
        <v>49</v>
      </c>
      <c r="J31" s="89" t="s">
        <v>50</v>
      </c>
      <c r="K31" s="89" t="s">
        <v>308</v>
      </c>
      <c r="L31" s="89" t="s">
        <v>52</v>
      </c>
      <c r="M31" s="90">
        <v>0.52833333333333332</v>
      </c>
      <c r="N31" s="90">
        <v>0.43833333333333341</v>
      </c>
      <c r="O31" s="115">
        <v>1.1309004212165454</v>
      </c>
      <c r="P31" s="116">
        <v>105.33333333333333</v>
      </c>
      <c r="Q31" s="117">
        <v>61445</v>
      </c>
      <c r="R31" s="118">
        <f t="shared" si="16"/>
        <v>1346.2222222222222</v>
      </c>
      <c r="S31" s="94">
        <v>9</v>
      </c>
      <c r="T31" s="94">
        <f t="shared" si="1"/>
        <v>9</v>
      </c>
      <c r="U31" s="95">
        <v>349</v>
      </c>
      <c r="V31" s="96">
        <v>1</v>
      </c>
      <c r="W31" s="96">
        <v>30</v>
      </c>
      <c r="X31" s="94">
        <v>280</v>
      </c>
      <c r="Y31" s="94">
        <f t="shared" si="2"/>
        <v>75600</v>
      </c>
      <c r="Z31" s="101">
        <v>0.5</v>
      </c>
      <c r="AA31" s="101">
        <v>0.5</v>
      </c>
      <c r="AB31" s="97">
        <f t="shared" si="15"/>
        <v>1363050</v>
      </c>
      <c r="AC31" s="98">
        <f t="shared" si="3"/>
        <v>10470</v>
      </c>
      <c r="AD31" s="98">
        <f t="shared" si="4"/>
        <v>5.9146032794101471</v>
      </c>
      <c r="AE31" s="104">
        <f t="shared" si="5"/>
        <v>0.23</v>
      </c>
      <c r="AF31" s="99">
        <f t="shared" si="6"/>
        <v>8061.9000000000005</v>
      </c>
      <c r="AG31" s="95">
        <f t="shared" si="7"/>
        <v>944.44444444444446</v>
      </c>
      <c r="AH31" s="100">
        <f t="shared" si="8"/>
        <v>0.86217751260731201</v>
      </c>
      <c r="AI31" s="100">
        <f t="shared" si="9"/>
        <v>0.56217751260731197</v>
      </c>
      <c r="AJ31" s="95">
        <f t="shared" si="10"/>
        <v>5908.1705555555563</v>
      </c>
      <c r="AK31" s="98">
        <f t="shared" si="11"/>
        <v>3852.3860555555566</v>
      </c>
      <c r="AL31" s="98">
        <f t="shared" si="12"/>
        <v>1027.8922500000001</v>
      </c>
      <c r="AM31" s="101">
        <f t="shared" si="13"/>
        <v>0.15</v>
      </c>
      <c r="AN31" s="98">
        <f t="shared" si="14"/>
        <v>1027.8922500000001</v>
      </c>
    </row>
    <row r="32" spans="1:40" x14ac:dyDescent="0.2">
      <c r="A32" s="92">
        <v>716</v>
      </c>
      <c r="B32" s="122">
        <v>46239</v>
      </c>
      <c r="C32" s="105">
        <v>26</v>
      </c>
      <c r="D32" s="114" t="s">
        <v>44</v>
      </c>
      <c r="E32" s="92">
        <v>716</v>
      </c>
      <c r="F32" s="102" t="s">
        <v>309</v>
      </c>
      <c r="G32" s="89" t="s">
        <v>55</v>
      </c>
      <c r="H32" s="93" t="s">
        <v>310</v>
      </c>
      <c r="I32" s="125" t="s">
        <v>49</v>
      </c>
      <c r="J32" s="89" t="s">
        <v>50</v>
      </c>
      <c r="K32" s="89" t="s">
        <v>311</v>
      </c>
      <c r="L32" s="89" t="s">
        <v>52</v>
      </c>
      <c r="M32" s="90">
        <v>0.56666666666666676</v>
      </c>
      <c r="N32" s="90">
        <v>0.37000000000000005</v>
      </c>
      <c r="O32" s="115">
        <v>1.1466195078488182</v>
      </c>
      <c r="P32" s="116">
        <v>75.666666666666671</v>
      </c>
      <c r="Q32" s="117">
        <v>37339.333333333336</v>
      </c>
      <c r="R32" s="118">
        <f t="shared" si="16"/>
        <v>2048.1666666666665</v>
      </c>
      <c r="S32" s="94">
        <v>9</v>
      </c>
      <c r="T32" s="94">
        <f t="shared" si="1"/>
        <v>9</v>
      </c>
      <c r="U32" s="95">
        <v>349</v>
      </c>
      <c r="V32" s="96">
        <v>1</v>
      </c>
      <c r="W32" s="96">
        <v>30</v>
      </c>
      <c r="X32" s="94">
        <v>280</v>
      </c>
      <c r="Y32" s="94">
        <f t="shared" si="2"/>
        <v>75600</v>
      </c>
      <c r="Z32" s="101">
        <v>0.5</v>
      </c>
      <c r="AA32" s="101">
        <v>0.5</v>
      </c>
      <c r="AB32" s="97">
        <f t="shared" si="15"/>
        <v>2073768.7499999998</v>
      </c>
      <c r="AC32" s="98">
        <f t="shared" si="3"/>
        <v>10470</v>
      </c>
      <c r="AD32" s="98">
        <f t="shared" si="4"/>
        <v>3.8875597869820351</v>
      </c>
      <c r="AE32" s="104">
        <f t="shared" si="5"/>
        <v>0.23</v>
      </c>
      <c r="AF32" s="99">
        <f t="shared" si="6"/>
        <v>8061.9000000000005</v>
      </c>
      <c r="AG32" s="95">
        <f t="shared" si="7"/>
        <v>944.44444444444446</v>
      </c>
      <c r="AH32" s="100">
        <f t="shared" si="8"/>
        <v>0.86217751260731201</v>
      </c>
      <c r="AI32" s="100">
        <f t="shared" si="9"/>
        <v>0.56217751260731197</v>
      </c>
      <c r="AJ32" s="95">
        <f t="shared" si="10"/>
        <v>5908.1705555555563</v>
      </c>
      <c r="AK32" s="98">
        <f t="shared" si="11"/>
        <v>3852.3860555555566</v>
      </c>
      <c r="AL32" s="98">
        <f t="shared" si="12"/>
        <v>1027.8922500000001</v>
      </c>
      <c r="AM32" s="101">
        <f t="shared" si="13"/>
        <v>0.15</v>
      </c>
      <c r="AN32" s="98">
        <f t="shared" si="14"/>
        <v>1027.8922500000001</v>
      </c>
    </row>
    <row r="33" spans="1:40" x14ac:dyDescent="0.2">
      <c r="A33" s="92">
        <v>718</v>
      </c>
      <c r="B33" s="122">
        <v>46233</v>
      </c>
      <c r="C33" s="105">
        <v>27</v>
      </c>
      <c r="D33" s="114" t="s">
        <v>44</v>
      </c>
      <c r="E33" s="92">
        <v>718</v>
      </c>
      <c r="F33" s="102" t="s">
        <v>312</v>
      </c>
      <c r="G33" s="89" t="s">
        <v>55</v>
      </c>
      <c r="H33" s="93" t="s">
        <v>313</v>
      </c>
      <c r="I33" s="125" t="s">
        <v>49</v>
      </c>
      <c r="J33" s="89" t="s">
        <v>50</v>
      </c>
      <c r="K33" s="89" t="s">
        <v>314</v>
      </c>
      <c r="L33" s="89" t="s">
        <v>52</v>
      </c>
      <c r="M33" s="90">
        <v>0.48500000000000004</v>
      </c>
      <c r="N33" s="90">
        <v>0.4549999999999999</v>
      </c>
      <c r="O33" s="115">
        <v>1.1054225217950047</v>
      </c>
      <c r="P33" s="116">
        <v>101.66666666666667</v>
      </c>
      <c r="Q33" s="117">
        <v>40064.333333333336</v>
      </c>
      <c r="R33" s="118">
        <f t="shared" si="16"/>
        <v>1244.6444444444446</v>
      </c>
      <c r="S33" s="94">
        <v>10</v>
      </c>
      <c r="T33" s="94">
        <f t="shared" si="1"/>
        <v>10</v>
      </c>
      <c r="U33" s="95">
        <v>349</v>
      </c>
      <c r="V33" s="96">
        <v>1</v>
      </c>
      <c r="W33" s="96">
        <v>30</v>
      </c>
      <c r="X33" s="94">
        <v>280</v>
      </c>
      <c r="Y33" s="94">
        <f t="shared" si="2"/>
        <v>84000</v>
      </c>
      <c r="Z33" s="101">
        <v>0.5</v>
      </c>
      <c r="AA33" s="101">
        <v>0.5</v>
      </c>
      <c r="AB33" s="97">
        <f t="shared" si="15"/>
        <v>1400225</v>
      </c>
      <c r="AC33" s="98">
        <f t="shared" si="3"/>
        <v>10470</v>
      </c>
      <c r="AD33" s="98">
        <f t="shared" si="4"/>
        <v>5.7575746754985815</v>
      </c>
      <c r="AE33" s="104">
        <f t="shared" si="5"/>
        <v>0.23</v>
      </c>
      <c r="AF33" s="99">
        <f t="shared" si="6"/>
        <v>8061.9000000000005</v>
      </c>
      <c r="AG33" s="95">
        <f t="shared" si="7"/>
        <v>944.44444444444446</v>
      </c>
      <c r="AH33" s="100">
        <f t="shared" si="8"/>
        <v>0.86217751260731201</v>
      </c>
      <c r="AI33" s="100">
        <f t="shared" si="9"/>
        <v>0.56217751260731197</v>
      </c>
      <c r="AJ33" s="95">
        <f t="shared" si="10"/>
        <v>5908.1705555555563</v>
      </c>
      <c r="AK33" s="98">
        <f t="shared" si="11"/>
        <v>3852.3860555555566</v>
      </c>
      <c r="AL33" s="98">
        <f t="shared" si="12"/>
        <v>1027.8922500000001</v>
      </c>
      <c r="AM33" s="101">
        <f t="shared" si="13"/>
        <v>0.15</v>
      </c>
      <c r="AN33" s="98">
        <f t="shared" si="14"/>
        <v>1027.8922500000001</v>
      </c>
    </row>
    <row r="34" spans="1:40" x14ac:dyDescent="0.2">
      <c r="A34" s="92">
        <v>720</v>
      </c>
      <c r="B34" s="122">
        <v>46237</v>
      </c>
      <c r="C34" s="105">
        <v>28</v>
      </c>
      <c r="D34" s="114" t="s">
        <v>44</v>
      </c>
      <c r="E34" s="92">
        <v>720</v>
      </c>
      <c r="F34" s="102" t="s">
        <v>315</v>
      </c>
      <c r="G34" s="89" t="s">
        <v>55</v>
      </c>
      <c r="H34" s="93" t="s">
        <v>316</v>
      </c>
      <c r="I34" s="125" t="s">
        <v>49</v>
      </c>
      <c r="J34" s="89" t="s">
        <v>50</v>
      </c>
      <c r="K34" s="89" t="s">
        <v>317</v>
      </c>
      <c r="L34" s="89" t="s">
        <v>52</v>
      </c>
      <c r="M34" s="90">
        <v>0.5033333333333333</v>
      </c>
      <c r="N34" s="90">
        <v>0.44</v>
      </c>
      <c r="O34" s="115">
        <v>1.0855111416138985</v>
      </c>
      <c r="P34" s="116">
        <v>94</v>
      </c>
      <c r="Q34" s="117">
        <v>42257</v>
      </c>
      <c r="R34" s="118">
        <f t="shared" si="16"/>
        <v>1335.4777777777779</v>
      </c>
      <c r="S34" s="94">
        <v>9</v>
      </c>
      <c r="T34" s="94">
        <f t="shared" si="1"/>
        <v>9</v>
      </c>
      <c r="U34" s="95">
        <v>349</v>
      </c>
      <c r="V34" s="96">
        <v>1</v>
      </c>
      <c r="W34" s="96">
        <v>30</v>
      </c>
      <c r="X34" s="94">
        <v>280</v>
      </c>
      <c r="Y34" s="94">
        <f t="shared" si="2"/>
        <v>75600</v>
      </c>
      <c r="Z34" s="101">
        <v>0.5</v>
      </c>
      <c r="AA34" s="101">
        <v>0.5</v>
      </c>
      <c r="AB34" s="97">
        <f t="shared" si="15"/>
        <v>1352171.25</v>
      </c>
      <c r="AC34" s="98">
        <f t="shared" si="3"/>
        <v>10470</v>
      </c>
      <c r="AD34" s="98">
        <f t="shared" si="4"/>
        <v>5.962188591127048</v>
      </c>
      <c r="AE34" s="104">
        <f t="shared" si="5"/>
        <v>0.23</v>
      </c>
      <c r="AF34" s="99">
        <f t="shared" si="6"/>
        <v>8061.9000000000005</v>
      </c>
      <c r="AG34" s="95">
        <f t="shared" si="7"/>
        <v>944.44444444444446</v>
      </c>
      <c r="AH34" s="100">
        <f t="shared" si="8"/>
        <v>0.86217751260731201</v>
      </c>
      <c r="AI34" s="100">
        <f t="shared" si="9"/>
        <v>0.56217751260731197</v>
      </c>
      <c r="AJ34" s="95">
        <f t="shared" si="10"/>
        <v>5908.1705555555563</v>
      </c>
      <c r="AK34" s="98">
        <f t="shared" si="11"/>
        <v>3852.3860555555566</v>
      </c>
      <c r="AL34" s="98">
        <f t="shared" si="12"/>
        <v>1027.8922500000001</v>
      </c>
      <c r="AM34" s="101">
        <f t="shared" si="13"/>
        <v>0.15</v>
      </c>
      <c r="AN34" s="98">
        <f t="shared" si="14"/>
        <v>1027.8922500000001</v>
      </c>
    </row>
    <row r="35" spans="1:40" x14ac:dyDescent="0.2">
      <c r="A35" s="92">
        <v>723</v>
      </c>
      <c r="B35" s="122">
        <v>46230</v>
      </c>
      <c r="C35" s="105">
        <v>29</v>
      </c>
      <c r="D35" s="114" t="s">
        <v>44</v>
      </c>
      <c r="E35" s="92">
        <v>723</v>
      </c>
      <c r="F35" s="102" t="s">
        <v>318</v>
      </c>
      <c r="G35" s="89" t="s">
        <v>55</v>
      </c>
      <c r="H35" s="93" t="s">
        <v>319</v>
      </c>
      <c r="I35" s="125" t="s">
        <v>49</v>
      </c>
      <c r="J35" s="89" t="s">
        <v>50</v>
      </c>
      <c r="K35" s="89" t="s">
        <v>320</v>
      </c>
      <c r="L35" s="89" t="s">
        <v>52</v>
      </c>
      <c r="M35" s="90">
        <v>0.52999999999999992</v>
      </c>
      <c r="N35" s="90">
        <v>0.42833333333333329</v>
      </c>
      <c r="O35" s="115">
        <v>1.1137289626254003</v>
      </c>
      <c r="P35" s="116">
        <v>70.333333333333329</v>
      </c>
      <c r="Q35" s="117">
        <v>49832.666666666664</v>
      </c>
      <c r="R35" s="118">
        <f t="shared" si="16"/>
        <v>1408.5666666666666</v>
      </c>
      <c r="S35" s="94">
        <v>9</v>
      </c>
      <c r="T35" s="94">
        <f t="shared" si="1"/>
        <v>9</v>
      </c>
      <c r="U35" s="95">
        <v>349</v>
      </c>
      <c r="V35" s="96">
        <v>1</v>
      </c>
      <c r="W35" s="96">
        <v>30</v>
      </c>
      <c r="X35" s="94">
        <v>280</v>
      </c>
      <c r="Y35" s="94">
        <f t="shared" si="2"/>
        <v>75600</v>
      </c>
      <c r="Z35" s="101">
        <v>0.5</v>
      </c>
      <c r="AA35" s="101">
        <v>0.5</v>
      </c>
      <c r="AB35" s="97">
        <f t="shared" si="15"/>
        <v>1426173.75</v>
      </c>
      <c r="AC35" s="98">
        <f t="shared" si="3"/>
        <v>10470</v>
      </c>
      <c r="AD35" s="98">
        <f t="shared" si="4"/>
        <v>5.6528175476515408</v>
      </c>
      <c r="AE35" s="104">
        <f t="shared" si="5"/>
        <v>0.23</v>
      </c>
      <c r="AF35" s="99">
        <f t="shared" si="6"/>
        <v>8061.9000000000005</v>
      </c>
      <c r="AG35" s="95">
        <f t="shared" si="7"/>
        <v>944.44444444444446</v>
      </c>
      <c r="AH35" s="100">
        <f t="shared" si="8"/>
        <v>0.86217751260731201</v>
      </c>
      <c r="AI35" s="100">
        <f t="shared" si="9"/>
        <v>0.56217751260731197</v>
      </c>
      <c r="AJ35" s="95">
        <f t="shared" si="10"/>
        <v>5908.1705555555563</v>
      </c>
      <c r="AK35" s="98">
        <f t="shared" si="11"/>
        <v>3852.3860555555566</v>
      </c>
      <c r="AL35" s="98">
        <f t="shared" si="12"/>
        <v>1027.8922500000001</v>
      </c>
      <c r="AM35" s="101">
        <f t="shared" si="13"/>
        <v>0.15</v>
      </c>
      <c r="AN35" s="98">
        <f t="shared" si="14"/>
        <v>1027.8922500000001</v>
      </c>
    </row>
    <row r="36" spans="1:40" x14ac:dyDescent="0.2">
      <c r="A36" s="92">
        <v>724</v>
      </c>
      <c r="B36" s="122">
        <v>46233</v>
      </c>
      <c r="C36" s="105">
        <v>30</v>
      </c>
      <c r="D36" s="114" t="s">
        <v>44</v>
      </c>
      <c r="E36" s="92">
        <v>724</v>
      </c>
      <c r="F36" s="102" t="s">
        <v>321</v>
      </c>
      <c r="G36" s="89" t="s">
        <v>55</v>
      </c>
      <c r="H36" s="93" t="s">
        <v>322</v>
      </c>
      <c r="I36" s="125" t="s">
        <v>49</v>
      </c>
      <c r="J36" s="89" t="s">
        <v>50</v>
      </c>
      <c r="K36" s="89" t="s">
        <v>323</v>
      </c>
      <c r="L36" s="89" t="s">
        <v>52</v>
      </c>
      <c r="M36" s="90">
        <v>0.54</v>
      </c>
      <c r="N36" s="90">
        <v>0.42833333333333329</v>
      </c>
      <c r="O36" s="115">
        <v>1.10920598265114</v>
      </c>
      <c r="P36" s="116">
        <v>102.66666666666667</v>
      </c>
      <c r="Q36" s="117">
        <v>49412.666666666664</v>
      </c>
      <c r="R36" s="118">
        <f t="shared" si="16"/>
        <v>1661.0888888888887</v>
      </c>
      <c r="S36" s="94">
        <v>12</v>
      </c>
      <c r="T36" s="94">
        <f t="shared" si="1"/>
        <v>12</v>
      </c>
      <c r="U36" s="95">
        <v>349</v>
      </c>
      <c r="V36" s="96">
        <v>1</v>
      </c>
      <c r="W36" s="96">
        <v>30</v>
      </c>
      <c r="X36" s="94">
        <v>280</v>
      </c>
      <c r="Y36" s="94">
        <f t="shared" si="2"/>
        <v>100800</v>
      </c>
      <c r="Z36" s="101">
        <v>0.5</v>
      </c>
      <c r="AA36" s="101">
        <v>0.5</v>
      </c>
      <c r="AB36" s="97">
        <f t="shared" si="15"/>
        <v>2242470</v>
      </c>
      <c r="AC36" s="98">
        <f t="shared" si="3"/>
        <v>10470</v>
      </c>
      <c r="AD36" s="98">
        <f t="shared" si="4"/>
        <v>3.5950982621841101</v>
      </c>
      <c r="AE36" s="104">
        <f t="shared" si="5"/>
        <v>0.23</v>
      </c>
      <c r="AF36" s="99">
        <f t="shared" si="6"/>
        <v>8061.9000000000005</v>
      </c>
      <c r="AG36" s="95">
        <f t="shared" si="7"/>
        <v>944.44444444444446</v>
      </c>
      <c r="AH36" s="100">
        <f t="shared" si="8"/>
        <v>0.86217751260731201</v>
      </c>
      <c r="AI36" s="100">
        <f t="shared" si="9"/>
        <v>0.56217751260731197</v>
      </c>
      <c r="AJ36" s="95">
        <f t="shared" si="10"/>
        <v>5908.1705555555563</v>
      </c>
      <c r="AK36" s="98">
        <f t="shared" si="11"/>
        <v>3852.3860555555566</v>
      </c>
      <c r="AL36" s="98">
        <f t="shared" si="12"/>
        <v>1027.8922500000001</v>
      </c>
      <c r="AM36" s="101">
        <f t="shared" si="13"/>
        <v>0.15</v>
      </c>
      <c r="AN36" s="98">
        <f t="shared" si="14"/>
        <v>1027.8922500000001</v>
      </c>
    </row>
    <row r="37" spans="1:40" x14ac:dyDescent="0.2">
      <c r="A37" s="92">
        <v>726</v>
      </c>
      <c r="B37" s="122">
        <v>46233</v>
      </c>
      <c r="C37" s="105">
        <v>31</v>
      </c>
      <c r="D37" s="114" t="s">
        <v>44</v>
      </c>
      <c r="E37" s="92">
        <v>726</v>
      </c>
      <c r="F37" s="102" t="s">
        <v>324</v>
      </c>
      <c r="G37" s="89" t="s">
        <v>55</v>
      </c>
      <c r="H37" s="93" t="s">
        <v>325</v>
      </c>
      <c r="I37" s="125" t="s">
        <v>49</v>
      </c>
      <c r="J37" s="89" t="s">
        <v>50</v>
      </c>
      <c r="K37" s="89" t="s">
        <v>326</v>
      </c>
      <c r="L37" s="89" t="s">
        <v>52</v>
      </c>
      <c r="M37" s="90">
        <v>0.58166666666666667</v>
      </c>
      <c r="N37" s="90">
        <v>0.38166666666666665</v>
      </c>
      <c r="O37" s="115">
        <v>1.1158560726744677</v>
      </c>
      <c r="P37" s="116">
        <v>87</v>
      </c>
      <c r="Q37" s="117">
        <v>42557</v>
      </c>
      <c r="R37" s="118">
        <f t="shared" si="16"/>
        <v>1647.0888888888887</v>
      </c>
      <c r="S37" s="94">
        <v>11</v>
      </c>
      <c r="T37" s="94">
        <f t="shared" si="1"/>
        <v>11</v>
      </c>
      <c r="U37" s="95">
        <v>349</v>
      </c>
      <c r="V37" s="96">
        <v>1</v>
      </c>
      <c r="W37" s="96">
        <v>30</v>
      </c>
      <c r="X37" s="94">
        <v>280</v>
      </c>
      <c r="Y37" s="94">
        <f t="shared" si="2"/>
        <v>92400</v>
      </c>
      <c r="Z37" s="101">
        <v>0.5</v>
      </c>
      <c r="AA37" s="101">
        <v>0.5</v>
      </c>
      <c r="AB37" s="97">
        <f t="shared" si="15"/>
        <v>2038272.5</v>
      </c>
      <c r="AC37" s="98">
        <f t="shared" si="3"/>
        <v>10470</v>
      </c>
      <c r="AD37" s="98">
        <f t="shared" si="4"/>
        <v>3.9552611341221553</v>
      </c>
      <c r="AE37" s="104">
        <f t="shared" si="5"/>
        <v>0.23</v>
      </c>
      <c r="AF37" s="99">
        <f t="shared" si="6"/>
        <v>8061.9000000000005</v>
      </c>
      <c r="AG37" s="95">
        <f t="shared" si="7"/>
        <v>944.44444444444446</v>
      </c>
      <c r="AH37" s="100">
        <f t="shared" si="8"/>
        <v>0.86217751260731201</v>
      </c>
      <c r="AI37" s="100">
        <f t="shared" si="9"/>
        <v>0.56217751260731197</v>
      </c>
      <c r="AJ37" s="95">
        <f t="shared" si="10"/>
        <v>5908.1705555555563</v>
      </c>
      <c r="AK37" s="98">
        <f t="shared" si="11"/>
        <v>3852.3860555555566</v>
      </c>
      <c r="AL37" s="98">
        <f t="shared" si="12"/>
        <v>1027.8922500000001</v>
      </c>
      <c r="AM37" s="101">
        <f t="shared" si="13"/>
        <v>0.15</v>
      </c>
      <c r="AN37" s="98">
        <f t="shared" si="14"/>
        <v>1027.8922500000001</v>
      </c>
    </row>
    <row r="38" spans="1:40" x14ac:dyDescent="0.2">
      <c r="A38" s="92">
        <v>730</v>
      </c>
      <c r="B38" s="122" t="s">
        <v>281</v>
      </c>
      <c r="C38" s="105">
        <v>32</v>
      </c>
      <c r="D38" s="114" t="s">
        <v>44</v>
      </c>
      <c r="E38" s="92">
        <v>730</v>
      </c>
      <c r="F38" s="102" t="s">
        <v>327</v>
      </c>
      <c r="G38" s="89" t="s">
        <v>47</v>
      </c>
      <c r="H38" s="93" t="s">
        <v>328</v>
      </c>
      <c r="I38" s="125" t="s">
        <v>49</v>
      </c>
      <c r="J38" s="89" t="s">
        <v>50</v>
      </c>
      <c r="K38" s="89" t="s">
        <v>329</v>
      </c>
      <c r="L38" s="89" t="s">
        <v>52</v>
      </c>
      <c r="M38" s="90">
        <v>0.53166666666666662</v>
      </c>
      <c r="N38" s="90">
        <v>0.42666666666666669</v>
      </c>
      <c r="O38" s="115">
        <v>1.1453871573814072</v>
      </c>
      <c r="P38" s="116">
        <v>88.333333333333329</v>
      </c>
      <c r="Q38" s="117">
        <v>68629</v>
      </c>
      <c r="R38" s="118">
        <f t="shared" si="16"/>
        <v>1418.5666666666666</v>
      </c>
      <c r="S38" s="94">
        <v>9</v>
      </c>
      <c r="T38" s="94">
        <f t="shared" si="1"/>
        <v>9</v>
      </c>
      <c r="U38" s="95">
        <v>349</v>
      </c>
      <c r="V38" s="96">
        <v>1</v>
      </c>
      <c r="W38" s="96">
        <v>30</v>
      </c>
      <c r="X38" s="94">
        <v>280</v>
      </c>
      <c r="Y38" s="94">
        <f t="shared" si="2"/>
        <v>75600</v>
      </c>
      <c r="Z38" s="101">
        <v>0.5</v>
      </c>
      <c r="AA38" s="101">
        <v>0.5</v>
      </c>
      <c r="AB38" s="97">
        <f t="shared" si="15"/>
        <v>1436298.75</v>
      </c>
      <c r="AC38" s="98">
        <f t="shared" si="3"/>
        <v>10470</v>
      </c>
      <c r="AD38" s="98">
        <f t="shared" si="4"/>
        <v>5.6129687504079504</v>
      </c>
      <c r="AE38" s="104">
        <f t="shared" si="5"/>
        <v>0.23</v>
      </c>
      <c r="AF38" s="99">
        <f t="shared" si="6"/>
        <v>8061.9000000000005</v>
      </c>
      <c r="AG38" s="95">
        <f t="shared" si="7"/>
        <v>944.44444444444446</v>
      </c>
      <c r="AH38" s="100">
        <f t="shared" si="8"/>
        <v>0.86217751260731201</v>
      </c>
      <c r="AI38" s="100">
        <f t="shared" si="9"/>
        <v>0.56217751260731197</v>
      </c>
      <c r="AJ38" s="95">
        <f t="shared" si="10"/>
        <v>5908.1705555555563</v>
      </c>
      <c r="AK38" s="98">
        <f t="shared" si="11"/>
        <v>3852.3860555555566</v>
      </c>
      <c r="AL38" s="98">
        <f t="shared" si="12"/>
        <v>1027.8922500000001</v>
      </c>
      <c r="AM38" s="101">
        <f t="shared" si="13"/>
        <v>0.15</v>
      </c>
      <c r="AN38" s="98">
        <f t="shared" si="14"/>
        <v>1027.8922500000001</v>
      </c>
    </row>
    <row r="39" spans="1:40" x14ac:dyDescent="0.2">
      <c r="A39" s="92">
        <v>742</v>
      </c>
      <c r="B39" s="122">
        <v>46239</v>
      </c>
      <c r="C39" s="105">
        <v>33</v>
      </c>
      <c r="D39" s="114" t="s">
        <v>44</v>
      </c>
      <c r="E39" s="92">
        <v>742</v>
      </c>
      <c r="F39" s="102" t="s">
        <v>330</v>
      </c>
      <c r="G39" s="89" t="s">
        <v>47</v>
      </c>
      <c r="H39" s="93" t="s">
        <v>331</v>
      </c>
      <c r="I39" s="125" t="s">
        <v>49</v>
      </c>
      <c r="J39" s="89" t="s">
        <v>50</v>
      </c>
      <c r="K39" s="89" t="s">
        <v>332</v>
      </c>
      <c r="L39" s="89" t="s">
        <v>52</v>
      </c>
      <c r="M39" s="90">
        <v>0.5183333333333332</v>
      </c>
      <c r="N39" s="90">
        <v>0.41166666666666663</v>
      </c>
      <c r="O39" s="115">
        <v>1.099818210869828</v>
      </c>
      <c r="P39" s="116">
        <v>67</v>
      </c>
      <c r="Q39" s="117">
        <v>48785.333333333336</v>
      </c>
      <c r="R39" s="118">
        <f t="shared" si="16"/>
        <v>2287.6333333333332</v>
      </c>
      <c r="S39" s="94">
        <v>13</v>
      </c>
      <c r="T39" s="94">
        <f t="shared" ref="T39:T70" si="17">IF(AND(V39&gt;0,W39&gt;0),S39,0)</f>
        <v>13</v>
      </c>
      <c r="U39" s="95">
        <v>349</v>
      </c>
      <c r="V39" s="96">
        <v>1</v>
      </c>
      <c r="W39" s="96">
        <v>30</v>
      </c>
      <c r="X39" s="94">
        <v>280</v>
      </c>
      <c r="Y39" s="94">
        <f t="shared" ref="Y39:Y70" si="18">X39*W39*T39</f>
        <v>109200</v>
      </c>
      <c r="Z39" s="101">
        <v>0.5</v>
      </c>
      <c r="AA39" s="101">
        <v>0.5</v>
      </c>
      <c r="AB39" s="97">
        <f t="shared" si="15"/>
        <v>3345663.75</v>
      </c>
      <c r="AC39" s="98">
        <f t="shared" ref="AC39:AC70" si="19">U39*V39*W39</f>
        <v>10470</v>
      </c>
      <c r="AD39" s="98">
        <f t="shared" ref="AD39:AD70" si="20">IFERROR((AF39/(AB39/1000))," ")</f>
        <v>2.4096563798439101</v>
      </c>
      <c r="AE39" s="104">
        <f t="shared" ref="AE39:AE70" si="21">$AE$5</f>
        <v>0.23</v>
      </c>
      <c r="AF39" s="99">
        <f t="shared" ref="AF39:AF70" si="22">AC39*(1-AE39)</f>
        <v>8061.9000000000005</v>
      </c>
      <c r="AG39" s="95">
        <f t="shared" ref="AG39:AG70" si="23">((17000/30/18)*W39)*V39</f>
        <v>944.44444444444446</v>
      </c>
      <c r="AH39" s="100">
        <f t="shared" ref="AH39:AH70" si="24">IFERROR(((AF39*0.85)-AG39)/(AF39*0.85),0)</f>
        <v>0.86217751260731201</v>
      </c>
      <c r="AI39" s="100">
        <f t="shared" ref="AI39:AI70" si="25">IFERROR(((AF39*0.85)-(AG39+AL39+AN39))/(AF39*0.85),0)</f>
        <v>0.56217751260731197</v>
      </c>
      <c r="AJ39" s="95">
        <f t="shared" ref="AJ39:AJ70" si="26">(AF39*0.85)-AG39</f>
        <v>5908.1705555555563</v>
      </c>
      <c r="AK39" s="98">
        <f t="shared" ref="AK39:AK70" si="27">(AF39*0.85)-AG39-AL39-AN39</f>
        <v>3852.3860555555566</v>
      </c>
      <c r="AL39" s="98">
        <f t="shared" ref="AL39:AL70" si="28">((AF39*0.85)*(0.3-AM39))</f>
        <v>1027.8922500000001</v>
      </c>
      <c r="AM39" s="101">
        <f t="shared" ref="AM39:AM70" si="29">$AM$5</f>
        <v>0.15</v>
      </c>
      <c r="AN39" s="98">
        <f t="shared" ref="AN39:AN70" si="30">AM39*(AF39*0.85)</f>
        <v>1027.8922500000001</v>
      </c>
    </row>
    <row r="40" spans="1:40" x14ac:dyDescent="0.2">
      <c r="A40" s="92">
        <v>744</v>
      </c>
      <c r="B40" s="122">
        <v>46239</v>
      </c>
      <c r="C40" s="105">
        <v>34</v>
      </c>
      <c r="D40" s="114" t="s">
        <v>44</v>
      </c>
      <c r="E40" s="92">
        <v>744</v>
      </c>
      <c r="F40" s="102" t="s">
        <v>333</v>
      </c>
      <c r="G40" s="89" t="s">
        <v>47</v>
      </c>
      <c r="H40" s="93" t="s">
        <v>334</v>
      </c>
      <c r="I40" s="125" t="s">
        <v>49</v>
      </c>
      <c r="J40" s="89" t="s">
        <v>50</v>
      </c>
      <c r="K40" s="89" t="s">
        <v>335</v>
      </c>
      <c r="L40" s="89" t="s">
        <v>52</v>
      </c>
      <c r="M40" s="90">
        <v>0.48</v>
      </c>
      <c r="N40" s="90">
        <v>0.45666666666666672</v>
      </c>
      <c r="O40" s="115">
        <v>1.1581908409350556</v>
      </c>
      <c r="P40" s="116">
        <v>76</v>
      </c>
      <c r="Q40" s="117">
        <v>26710</v>
      </c>
      <c r="R40" s="118">
        <f t="shared" si="16"/>
        <v>1626.1777777777779</v>
      </c>
      <c r="S40" s="94">
        <v>12</v>
      </c>
      <c r="T40" s="94">
        <f t="shared" si="17"/>
        <v>12</v>
      </c>
      <c r="U40" s="95">
        <v>349</v>
      </c>
      <c r="V40" s="96">
        <v>1</v>
      </c>
      <c r="W40" s="96">
        <v>30</v>
      </c>
      <c r="X40" s="94">
        <v>280</v>
      </c>
      <c r="Y40" s="94">
        <f t="shared" si="18"/>
        <v>100800</v>
      </c>
      <c r="Z40" s="101">
        <v>0.5</v>
      </c>
      <c r="AA40" s="101">
        <v>0.5</v>
      </c>
      <c r="AB40" s="97">
        <f t="shared" si="15"/>
        <v>2195340</v>
      </c>
      <c r="AC40" s="98">
        <f t="shared" si="19"/>
        <v>10470</v>
      </c>
      <c r="AD40" s="98">
        <f t="shared" si="20"/>
        <v>3.6722785536636695</v>
      </c>
      <c r="AE40" s="104">
        <f t="shared" si="21"/>
        <v>0.23</v>
      </c>
      <c r="AF40" s="99">
        <f t="shared" si="22"/>
        <v>8061.9000000000005</v>
      </c>
      <c r="AG40" s="95">
        <f t="shared" si="23"/>
        <v>944.44444444444446</v>
      </c>
      <c r="AH40" s="100">
        <f t="shared" si="24"/>
        <v>0.86217751260731201</v>
      </c>
      <c r="AI40" s="100">
        <f t="shared" si="25"/>
        <v>0.56217751260731197</v>
      </c>
      <c r="AJ40" s="95">
        <f t="shared" si="26"/>
        <v>5908.1705555555563</v>
      </c>
      <c r="AK40" s="98">
        <f t="shared" si="27"/>
        <v>3852.3860555555566</v>
      </c>
      <c r="AL40" s="98">
        <f t="shared" si="28"/>
        <v>1027.8922500000001</v>
      </c>
      <c r="AM40" s="101">
        <f t="shared" si="29"/>
        <v>0.15</v>
      </c>
      <c r="AN40" s="98">
        <f t="shared" si="30"/>
        <v>1027.8922500000001</v>
      </c>
    </row>
    <row r="41" spans="1:40" x14ac:dyDescent="0.2">
      <c r="A41" s="92">
        <v>745</v>
      </c>
      <c r="B41" s="122">
        <v>46241</v>
      </c>
      <c r="C41" s="105">
        <v>35</v>
      </c>
      <c r="D41" s="114" t="s">
        <v>44</v>
      </c>
      <c r="E41" s="92">
        <v>745</v>
      </c>
      <c r="F41" s="102" t="s">
        <v>336</v>
      </c>
      <c r="G41" s="89" t="s">
        <v>55</v>
      </c>
      <c r="H41" s="93" t="s">
        <v>337</v>
      </c>
      <c r="I41" s="125" t="s">
        <v>49</v>
      </c>
      <c r="J41" s="89" t="s">
        <v>50</v>
      </c>
      <c r="K41" s="89" t="s">
        <v>338</v>
      </c>
      <c r="L41" s="89" t="s">
        <v>52</v>
      </c>
      <c r="M41" s="90">
        <v>0.59166666666666667</v>
      </c>
      <c r="N41" s="90">
        <v>0.33500000000000002</v>
      </c>
      <c r="O41" s="115">
        <v>1.1203140666169487</v>
      </c>
      <c r="P41" s="116">
        <v>80.333333333333329</v>
      </c>
      <c r="Q41" s="117">
        <v>55424.666666666664</v>
      </c>
      <c r="R41" s="118">
        <f t="shared" si="16"/>
        <v>890.33333333333337</v>
      </c>
      <c r="S41" s="94">
        <v>9</v>
      </c>
      <c r="T41" s="94">
        <f t="shared" si="17"/>
        <v>9</v>
      </c>
      <c r="U41" s="95">
        <v>349</v>
      </c>
      <c r="V41" s="96">
        <v>1</v>
      </c>
      <c r="W41" s="96">
        <v>30</v>
      </c>
      <c r="X41" s="94">
        <v>280</v>
      </c>
      <c r="Y41" s="94">
        <f t="shared" si="18"/>
        <v>75600</v>
      </c>
      <c r="Z41" s="101">
        <v>0.5</v>
      </c>
      <c r="AA41" s="101">
        <v>0.5</v>
      </c>
      <c r="AB41" s="97">
        <f t="shared" si="15"/>
        <v>901462.5</v>
      </c>
      <c r="AC41" s="98">
        <f t="shared" si="19"/>
        <v>10470</v>
      </c>
      <c r="AD41" s="98">
        <f t="shared" si="20"/>
        <v>8.9431340737967471</v>
      </c>
      <c r="AE41" s="104">
        <f t="shared" si="21"/>
        <v>0.23</v>
      </c>
      <c r="AF41" s="99">
        <f t="shared" si="22"/>
        <v>8061.9000000000005</v>
      </c>
      <c r="AG41" s="95">
        <f t="shared" si="23"/>
        <v>944.44444444444446</v>
      </c>
      <c r="AH41" s="100">
        <f t="shared" si="24"/>
        <v>0.86217751260731201</v>
      </c>
      <c r="AI41" s="100">
        <f t="shared" si="25"/>
        <v>0.56217751260731197</v>
      </c>
      <c r="AJ41" s="95">
        <f t="shared" si="26"/>
        <v>5908.1705555555563</v>
      </c>
      <c r="AK41" s="98">
        <f t="shared" si="27"/>
        <v>3852.3860555555566</v>
      </c>
      <c r="AL41" s="98">
        <f t="shared" si="28"/>
        <v>1027.8922500000001</v>
      </c>
      <c r="AM41" s="101">
        <f t="shared" si="29"/>
        <v>0.15</v>
      </c>
      <c r="AN41" s="98">
        <f t="shared" si="30"/>
        <v>1027.8922500000001</v>
      </c>
    </row>
    <row r="42" spans="1:40" x14ac:dyDescent="0.2">
      <c r="A42" s="92">
        <v>746</v>
      </c>
      <c r="B42" s="122">
        <v>46241</v>
      </c>
      <c r="C42" s="105">
        <v>36</v>
      </c>
      <c r="D42" s="114" t="s">
        <v>44</v>
      </c>
      <c r="E42" s="92">
        <v>746</v>
      </c>
      <c r="F42" s="102" t="s">
        <v>339</v>
      </c>
      <c r="G42" s="89" t="s">
        <v>47</v>
      </c>
      <c r="H42" s="93" t="s">
        <v>340</v>
      </c>
      <c r="I42" s="125" t="s">
        <v>49</v>
      </c>
      <c r="J42" s="89" t="s">
        <v>50</v>
      </c>
      <c r="K42" s="89" t="s">
        <v>341</v>
      </c>
      <c r="L42" s="89" t="s">
        <v>52</v>
      </c>
      <c r="M42" s="90">
        <v>0.58666666666666678</v>
      </c>
      <c r="N42" s="90">
        <v>0.36166666666666664</v>
      </c>
      <c r="O42" s="115">
        <v>1.1356576267687186</v>
      </c>
      <c r="P42" s="116">
        <v>65</v>
      </c>
      <c r="Q42" s="117">
        <v>60234.666666666664</v>
      </c>
      <c r="R42" s="118">
        <f t="shared" si="16"/>
        <v>1847.4888888888888</v>
      </c>
      <c r="S42" s="94">
        <v>14</v>
      </c>
      <c r="T42" s="94">
        <f t="shared" si="17"/>
        <v>14</v>
      </c>
      <c r="U42" s="95">
        <v>349</v>
      </c>
      <c r="V42" s="96">
        <v>1</v>
      </c>
      <c r="W42" s="96">
        <v>30</v>
      </c>
      <c r="X42" s="94">
        <v>280</v>
      </c>
      <c r="Y42" s="94">
        <f t="shared" si="18"/>
        <v>117600</v>
      </c>
      <c r="Z42" s="101">
        <v>0.5</v>
      </c>
      <c r="AA42" s="101">
        <v>0.5</v>
      </c>
      <c r="AB42" s="97">
        <f t="shared" si="15"/>
        <v>2909795</v>
      </c>
      <c r="AC42" s="98">
        <f t="shared" si="19"/>
        <v>10470</v>
      </c>
      <c r="AD42" s="98">
        <f t="shared" si="20"/>
        <v>2.7706075513910773</v>
      </c>
      <c r="AE42" s="104">
        <f t="shared" si="21"/>
        <v>0.23</v>
      </c>
      <c r="AF42" s="99">
        <f t="shared" si="22"/>
        <v>8061.9000000000005</v>
      </c>
      <c r="AG42" s="95">
        <f t="shared" si="23"/>
        <v>944.44444444444446</v>
      </c>
      <c r="AH42" s="100">
        <f t="shared" si="24"/>
        <v>0.86217751260731201</v>
      </c>
      <c r="AI42" s="100">
        <f t="shared" si="25"/>
        <v>0.56217751260731197</v>
      </c>
      <c r="AJ42" s="95">
        <f t="shared" si="26"/>
        <v>5908.1705555555563</v>
      </c>
      <c r="AK42" s="98">
        <f t="shared" si="27"/>
        <v>3852.3860555555566</v>
      </c>
      <c r="AL42" s="98">
        <f t="shared" si="28"/>
        <v>1027.8922500000001</v>
      </c>
      <c r="AM42" s="101">
        <f t="shared" si="29"/>
        <v>0.15</v>
      </c>
      <c r="AN42" s="98">
        <f t="shared" si="30"/>
        <v>1027.8922500000001</v>
      </c>
    </row>
    <row r="43" spans="1:40" x14ac:dyDescent="0.2">
      <c r="A43" s="92">
        <v>747</v>
      </c>
      <c r="B43" s="122">
        <v>46244</v>
      </c>
      <c r="C43" s="105">
        <v>37</v>
      </c>
      <c r="D43" s="114" t="s">
        <v>44</v>
      </c>
      <c r="E43" s="92">
        <v>747</v>
      </c>
      <c r="F43" s="102" t="s">
        <v>342</v>
      </c>
      <c r="G43" s="89" t="s">
        <v>47</v>
      </c>
      <c r="H43" s="93" t="s">
        <v>343</v>
      </c>
      <c r="I43" s="125" t="s">
        <v>49</v>
      </c>
      <c r="J43" s="89" t="s">
        <v>50</v>
      </c>
      <c r="K43" s="89" t="s">
        <v>344</v>
      </c>
      <c r="L43" s="89" t="s">
        <v>52</v>
      </c>
      <c r="M43" s="90">
        <v>0.53500000000000003</v>
      </c>
      <c r="N43" s="90">
        <v>0.39833333333333337</v>
      </c>
      <c r="O43" s="115">
        <v>1.1234018989598844</v>
      </c>
      <c r="P43" s="116">
        <v>70.333333333333329</v>
      </c>
      <c r="Q43" s="117">
        <v>31282.333333333332</v>
      </c>
      <c r="R43" s="118">
        <f t="shared" si="16"/>
        <v>2007.8222222222221</v>
      </c>
      <c r="S43" s="94">
        <v>9</v>
      </c>
      <c r="T43" s="94">
        <f t="shared" si="17"/>
        <v>9</v>
      </c>
      <c r="U43" s="95">
        <v>349</v>
      </c>
      <c r="V43" s="96">
        <v>1</v>
      </c>
      <c r="W43" s="96">
        <v>30</v>
      </c>
      <c r="X43" s="94">
        <v>280</v>
      </c>
      <c r="Y43" s="94">
        <f t="shared" si="18"/>
        <v>75600</v>
      </c>
      <c r="Z43" s="101">
        <v>0.5</v>
      </c>
      <c r="AA43" s="101">
        <v>0.5</v>
      </c>
      <c r="AB43" s="97">
        <f t="shared" si="15"/>
        <v>2032920</v>
      </c>
      <c r="AC43" s="98">
        <f t="shared" si="19"/>
        <v>10470</v>
      </c>
      <c r="AD43" s="98">
        <f t="shared" si="20"/>
        <v>3.9656749896700316</v>
      </c>
      <c r="AE43" s="104">
        <f t="shared" si="21"/>
        <v>0.23</v>
      </c>
      <c r="AF43" s="99">
        <f t="shared" si="22"/>
        <v>8061.9000000000005</v>
      </c>
      <c r="AG43" s="95">
        <f t="shared" si="23"/>
        <v>944.44444444444446</v>
      </c>
      <c r="AH43" s="100">
        <f t="shared" si="24"/>
        <v>0.86217751260731201</v>
      </c>
      <c r="AI43" s="100">
        <f t="shared" si="25"/>
        <v>0.56217751260731197</v>
      </c>
      <c r="AJ43" s="95">
        <f t="shared" si="26"/>
        <v>5908.1705555555563</v>
      </c>
      <c r="AK43" s="98">
        <f t="shared" si="27"/>
        <v>3852.3860555555566</v>
      </c>
      <c r="AL43" s="98">
        <f t="shared" si="28"/>
        <v>1027.8922500000001</v>
      </c>
      <c r="AM43" s="101">
        <f t="shared" si="29"/>
        <v>0.15</v>
      </c>
      <c r="AN43" s="98">
        <f t="shared" si="30"/>
        <v>1027.8922500000001</v>
      </c>
    </row>
    <row r="44" spans="1:40" x14ac:dyDescent="0.2">
      <c r="A44" s="92">
        <v>748</v>
      </c>
      <c r="B44" s="122">
        <v>46237</v>
      </c>
      <c r="C44" s="105">
        <v>38</v>
      </c>
      <c r="D44" s="114" t="s">
        <v>44</v>
      </c>
      <c r="E44" s="92">
        <v>748</v>
      </c>
      <c r="F44" s="102" t="s">
        <v>345</v>
      </c>
      <c r="G44" s="89" t="s">
        <v>47</v>
      </c>
      <c r="H44" s="93" t="s">
        <v>346</v>
      </c>
      <c r="I44" s="125" t="s">
        <v>49</v>
      </c>
      <c r="J44" s="89" t="s">
        <v>50</v>
      </c>
      <c r="K44" s="89" t="s">
        <v>347</v>
      </c>
      <c r="L44" s="89" t="s">
        <v>52</v>
      </c>
      <c r="M44" s="90">
        <v>0.45999999999999996</v>
      </c>
      <c r="N44" s="90">
        <v>0.44500000000000001</v>
      </c>
      <c r="O44" s="115">
        <v>1.2091314276659104</v>
      </c>
      <c r="P44" s="116">
        <v>65.333333333333329</v>
      </c>
      <c r="Q44" s="117">
        <v>19750.666666666668</v>
      </c>
      <c r="R44" s="118">
        <f t="shared" si="16"/>
        <v>1042.7444444444443</v>
      </c>
      <c r="S44" s="94">
        <v>7</v>
      </c>
      <c r="T44" s="94">
        <f t="shared" si="17"/>
        <v>7</v>
      </c>
      <c r="U44" s="95">
        <v>349</v>
      </c>
      <c r="V44" s="96">
        <v>1</v>
      </c>
      <c r="W44" s="96">
        <v>30</v>
      </c>
      <c r="X44" s="94">
        <v>280</v>
      </c>
      <c r="Y44" s="94">
        <f t="shared" si="18"/>
        <v>58800</v>
      </c>
      <c r="Z44" s="101">
        <v>0.5</v>
      </c>
      <c r="AA44" s="101">
        <v>0.5</v>
      </c>
      <c r="AB44" s="97">
        <f t="shared" si="15"/>
        <v>821161.24999999988</v>
      </c>
      <c r="AC44" s="98">
        <f t="shared" si="19"/>
        <v>10470</v>
      </c>
      <c r="AD44" s="98">
        <f t="shared" si="20"/>
        <v>9.8176819717199297</v>
      </c>
      <c r="AE44" s="104">
        <f t="shared" si="21"/>
        <v>0.23</v>
      </c>
      <c r="AF44" s="99">
        <f t="shared" si="22"/>
        <v>8061.9000000000005</v>
      </c>
      <c r="AG44" s="95">
        <f t="shared" si="23"/>
        <v>944.44444444444446</v>
      </c>
      <c r="AH44" s="100">
        <f t="shared" si="24"/>
        <v>0.86217751260731201</v>
      </c>
      <c r="AI44" s="100">
        <f t="shared" si="25"/>
        <v>0.56217751260731197</v>
      </c>
      <c r="AJ44" s="95">
        <f t="shared" si="26"/>
        <v>5908.1705555555563</v>
      </c>
      <c r="AK44" s="98">
        <f t="shared" si="27"/>
        <v>3852.3860555555566</v>
      </c>
      <c r="AL44" s="98">
        <f t="shared" si="28"/>
        <v>1027.8922500000001</v>
      </c>
      <c r="AM44" s="101">
        <f t="shared" si="29"/>
        <v>0.15</v>
      </c>
      <c r="AN44" s="98">
        <f t="shared" si="30"/>
        <v>1027.8922500000001</v>
      </c>
    </row>
    <row r="45" spans="1:40" x14ac:dyDescent="0.2">
      <c r="A45" s="92">
        <v>750</v>
      </c>
      <c r="B45" s="122">
        <v>46241</v>
      </c>
      <c r="C45" s="105">
        <v>39</v>
      </c>
      <c r="D45" s="114" t="s">
        <v>44</v>
      </c>
      <c r="E45" s="92">
        <v>750</v>
      </c>
      <c r="F45" s="102" t="s">
        <v>348</v>
      </c>
      <c r="G45" s="89" t="s">
        <v>55</v>
      </c>
      <c r="H45" s="93" t="s">
        <v>349</v>
      </c>
      <c r="I45" s="125" t="s">
        <v>49</v>
      </c>
      <c r="J45" s="89" t="s">
        <v>50</v>
      </c>
      <c r="K45" s="89" t="s">
        <v>350</v>
      </c>
      <c r="L45" s="89" t="s">
        <v>52</v>
      </c>
      <c r="M45" s="90">
        <v>0.44666666666666671</v>
      </c>
      <c r="N45" s="90">
        <v>0.48</v>
      </c>
      <c r="O45" s="115">
        <v>1.1347429661337098</v>
      </c>
      <c r="P45" s="116">
        <v>115.33333333333333</v>
      </c>
      <c r="Q45" s="117">
        <v>61737.333333333336</v>
      </c>
      <c r="R45" s="118">
        <f t="shared" si="16"/>
        <v>658.35555555555561</v>
      </c>
      <c r="S45" s="94">
        <v>10</v>
      </c>
      <c r="T45" s="94">
        <f t="shared" si="17"/>
        <v>10</v>
      </c>
      <c r="U45" s="95">
        <v>349</v>
      </c>
      <c r="V45" s="96">
        <v>1</v>
      </c>
      <c r="W45" s="96">
        <v>30</v>
      </c>
      <c r="X45" s="94">
        <v>280</v>
      </c>
      <c r="Y45" s="94">
        <f t="shared" si="18"/>
        <v>84000</v>
      </c>
      <c r="Z45" s="101">
        <v>0.5</v>
      </c>
      <c r="AA45" s="101">
        <v>0.5</v>
      </c>
      <c r="AB45" s="97">
        <f t="shared" si="15"/>
        <v>740650</v>
      </c>
      <c r="AC45" s="98">
        <f t="shared" si="19"/>
        <v>10470</v>
      </c>
      <c r="AD45" s="98">
        <f t="shared" si="20"/>
        <v>10.884898400054007</v>
      </c>
      <c r="AE45" s="104">
        <f t="shared" si="21"/>
        <v>0.23</v>
      </c>
      <c r="AF45" s="99">
        <f t="shared" si="22"/>
        <v>8061.9000000000005</v>
      </c>
      <c r="AG45" s="95">
        <f t="shared" si="23"/>
        <v>944.44444444444446</v>
      </c>
      <c r="AH45" s="100">
        <f t="shared" si="24"/>
        <v>0.86217751260731201</v>
      </c>
      <c r="AI45" s="100">
        <f t="shared" si="25"/>
        <v>0.56217751260731197</v>
      </c>
      <c r="AJ45" s="95">
        <f t="shared" si="26"/>
        <v>5908.1705555555563</v>
      </c>
      <c r="AK45" s="98">
        <f t="shared" si="27"/>
        <v>3852.3860555555566</v>
      </c>
      <c r="AL45" s="98">
        <f t="shared" si="28"/>
        <v>1027.8922500000001</v>
      </c>
      <c r="AM45" s="101">
        <f t="shared" si="29"/>
        <v>0.15</v>
      </c>
      <c r="AN45" s="98">
        <f t="shared" si="30"/>
        <v>1027.8922500000001</v>
      </c>
    </row>
    <row r="46" spans="1:40" x14ac:dyDescent="0.2">
      <c r="A46" s="92" t="s">
        <v>115</v>
      </c>
      <c r="B46" s="105" t="s">
        <v>281</v>
      </c>
      <c r="C46" s="105">
        <v>40</v>
      </c>
      <c r="D46" s="119" t="s">
        <v>114</v>
      </c>
      <c r="E46" s="92" t="s">
        <v>115</v>
      </c>
      <c r="F46" s="102" t="s">
        <v>116</v>
      </c>
      <c r="G46" s="89" t="s">
        <v>47</v>
      </c>
      <c r="H46" s="93" t="s">
        <v>117</v>
      </c>
      <c r="I46" s="125" t="s">
        <v>118</v>
      </c>
      <c r="J46" s="89" t="s">
        <v>119</v>
      </c>
      <c r="K46" s="89" t="s">
        <v>120</v>
      </c>
      <c r="L46" s="89" t="s">
        <v>121</v>
      </c>
      <c r="M46" s="90">
        <v>0.6737027021444022</v>
      </c>
      <c r="N46" s="90">
        <v>0.3262972978555978</v>
      </c>
      <c r="O46" s="115">
        <v>2.06</v>
      </c>
      <c r="P46" s="116">
        <v>151.9</v>
      </c>
      <c r="Q46" s="117">
        <v>35214</v>
      </c>
      <c r="R46" s="118">
        <f t="shared" ref="R46:R77" si="31">Q46/30</f>
        <v>1173.8</v>
      </c>
      <c r="S46" s="94">
        <v>16</v>
      </c>
      <c r="T46" s="94">
        <f t="shared" si="17"/>
        <v>16</v>
      </c>
      <c r="U46" s="95">
        <v>349</v>
      </c>
      <c r="V46" s="96">
        <v>1</v>
      </c>
      <c r="W46" s="96">
        <v>30</v>
      </c>
      <c r="X46" s="94">
        <v>280</v>
      </c>
      <c r="Y46" s="94">
        <f t="shared" si="18"/>
        <v>134400</v>
      </c>
      <c r="Z46" s="101">
        <v>0.5</v>
      </c>
      <c r="AA46" s="101">
        <v>0.5</v>
      </c>
      <c r="AB46" s="97">
        <f t="shared" si="15"/>
        <v>2112840</v>
      </c>
      <c r="AC46" s="98">
        <f t="shared" si="19"/>
        <v>10470</v>
      </c>
      <c r="AD46" s="98">
        <f t="shared" si="20"/>
        <v>3.8156699040154485</v>
      </c>
      <c r="AE46" s="104">
        <f t="shared" si="21"/>
        <v>0.23</v>
      </c>
      <c r="AF46" s="99">
        <f t="shared" si="22"/>
        <v>8061.9000000000005</v>
      </c>
      <c r="AG46" s="95">
        <f t="shared" si="23"/>
        <v>944.44444444444446</v>
      </c>
      <c r="AH46" s="100">
        <f t="shared" si="24"/>
        <v>0.86217751260731201</v>
      </c>
      <c r="AI46" s="100">
        <f t="shared" si="25"/>
        <v>0.56217751260731197</v>
      </c>
      <c r="AJ46" s="95">
        <f t="shared" si="26"/>
        <v>5908.1705555555563</v>
      </c>
      <c r="AK46" s="98">
        <f t="shared" si="27"/>
        <v>3852.3860555555566</v>
      </c>
      <c r="AL46" s="98">
        <f t="shared" si="28"/>
        <v>1027.8922500000001</v>
      </c>
      <c r="AM46" s="101">
        <f t="shared" si="29"/>
        <v>0.15</v>
      </c>
      <c r="AN46" s="98">
        <f t="shared" si="30"/>
        <v>1027.8922500000001</v>
      </c>
    </row>
    <row r="47" spans="1:40" x14ac:dyDescent="0.2">
      <c r="A47" s="92" t="s">
        <v>122</v>
      </c>
      <c r="B47" s="105" t="s">
        <v>281</v>
      </c>
      <c r="C47" s="105">
        <v>41</v>
      </c>
      <c r="D47" s="119" t="s">
        <v>114</v>
      </c>
      <c r="E47" s="92" t="s">
        <v>122</v>
      </c>
      <c r="F47" s="102" t="s">
        <v>123</v>
      </c>
      <c r="G47" s="89" t="s">
        <v>47</v>
      </c>
      <c r="H47" s="93" t="s">
        <v>124</v>
      </c>
      <c r="I47" s="125" t="s">
        <v>118</v>
      </c>
      <c r="J47" s="89" t="s">
        <v>119</v>
      </c>
      <c r="K47" s="89" t="s">
        <v>125</v>
      </c>
      <c r="L47" s="89" t="s">
        <v>52</v>
      </c>
      <c r="M47" s="90">
        <v>0.56825749167591499</v>
      </c>
      <c r="N47" s="90">
        <v>0.37513873473917803</v>
      </c>
      <c r="O47" s="115">
        <v>2.0299999999999998</v>
      </c>
      <c r="P47" s="116">
        <v>132.78</v>
      </c>
      <c r="Q47" s="117">
        <v>44032</v>
      </c>
      <c r="R47" s="118">
        <f t="shared" si="31"/>
        <v>1467.7333333333333</v>
      </c>
      <c r="S47" s="94">
        <v>16</v>
      </c>
      <c r="T47" s="94">
        <f t="shared" si="17"/>
        <v>16</v>
      </c>
      <c r="U47" s="95">
        <v>349</v>
      </c>
      <c r="V47" s="96">
        <v>1</v>
      </c>
      <c r="W47" s="96">
        <v>30</v>
      </c>
      <c r="X47" s="94">
        <v>280</v>
      </c>
      <c r="Y47" s="94">
        <f t="shared" si="18"/>
        <v>134400</v>
      </c>
      <c r="Z47" s="101">
        <v>0.5</v>
      </c>
      <c r="AA47" s="101">
        <v>0.5</v>
      </c>
      <c r="AB47" s="97">
        <f t="shared" si="15"/>
        <v>2641920</v>
      </c>
      <c r="AC47" s="98">
        <f t="shared" si="19"/>
        <v>10470</v>
      </c>
      <c r="AD47" s="98">
        <f t="shared" si="20"/>
        <v>3.0515307049418605</v>
      </c>
      <c r="AE47" s="104">
        <f t="shared" si="21"/>
        <v>0.23</v>
      </c>
      <c r="AF47" s="99">
        <f t="shared" si="22"/>
        <v>8061.9000000000005</v>
      </c>
      <c r="AG47" s="95">
        <f t="shared" si="23"/>
        <v>944.44444444444446</v>
      </c>
      <c r="AH47" s="100">
        <f t="shared" si="24"/>
        <v>0.86217751260731201</v>
      </c>
      <c r="AI47" s="100">
        <f t="shared" si="25"/>
        <v>0.56217751260731197</v>
      </c>
      <c r="AJ47" s="95">
        <f t="shared" si="26"/>
        <v>5908.1705555555563</v>
      </c>
      <c r="AK47" s="98">
        <f t="shared" si="27"/>
        <v>3852.3860555555566</v>
      </c>
      <c r="AL47" s="98">
        <f t="shared" si="28"/>
        <v>1027.8922500000001</v>
      </c>
      <c r="AM47" s="101">
        <f t="shared" si="29"/>
        <v>0.15</v>
      </c>
      <c r="AN47" s="98">
        <f t="shared" si="30"/>
        <v>1027.8922500000001</v>
      </c>
    </row>
    <row r="48" spans="1:40" x14ac:dyDescent="0.2">
      <c r="A48" s="92" t="s">
        <v>126</v>
      </c>
      <c r="B48" s="105" t="s">
        <v>281</v>
      </c>
      <c r="C48" s="105">
        <v>42</v>
      </c>
      <c r="D48" s="119" t="s">
        <v>114</v>
      </c>
      <c r="E48" s="92" t="s">
        <v>126</v>
      </c>
      <c r="F48" s="102" t="s">
        <v>127</v>
      </c>
      <c r="G48" s="89" t="s">
        <v>47</v>
      </c>
      <c r="H48" s="93" t="s">
        <v>128</v>
      </c>
      <c r="I48" s="125" t="s">
        <v>118</v>
      </c>
      <c r="J48" s="89" t="s">
        <v>119</v>
      </c>
      <c r="K48" s="89" t="s">
        <v>129</v>
      </c>
      <c r="L48" s="89" t="s">
        <v>52</v>
      </c>
      <c r="M48" s="90">
        <v>0.56761859806466797</v>
      </c>
      <c r="N48" s="90">
        <v>0.37479348595704498</v>
      </c>
      <c r="O48" s="115">
        <v>2</v>
      </c>
      <c r="P48" s="116">
        <v>160.72999999999999</v>
      </c>
      <c r="Q48" s="117">
        <v>25193</v>
      </c>
      <c r="R48" s="118">
        <f t="shared" si="31"/>
        <v>839.76666666666665</v>
      </c>
      <c r="S48" s="94">
        <v>16</v>
      </c>
      <c r="T48" s="94">
        <f t="shared" si="17"/>
        <v>16</v>
      </c>
      <c r="U48" s="95">
        <v>349</v>
      </c>
      <c r="V48" s="96">
        <v>1</v>
      </c>
      <c r="W48" s="96">
        <v>30</v>
      </c>
      <c r="X48" s="94">
        <v>280</v>
      </c>
      <c r="Y48" s="94">
        <f t="shared" si="18"/>
        <v>134400</v>
      </c>
      <c r="Z48" s="101">
        <v>0.5</v>
      </c>
      <c r="AA48" s="101">
        <v>0.5</v>
      </c>
      <c r="AB48" s="97">
        <f t="shared" si="15"/>
        <v>1511580</v>
      </c>
      <c r="AC48" s="98">
        <f t="shared" si="19"/>
        <v>10470</v>
      </c>
      <c r="AD48" s="98">
        <f t="shared" si="20"/>
        <v>5.3334259516532372</v>
      </c>
      <c r="AE48" s="104">
        <f t="shared" si="21"/>
        <v>0.23</v>
      </c>
      <c r="AF48" s="99">
        <f t="shared" si="22"/>
        <v>8061.9000000000005</v>
      </c>
      <c r="AG48" s="95">
        <f t="shared" si="23"/>
        <v>944.44444444444446</v>
      </c>
      <c r="AH48" s="100">
        <f t="shared" si="24"/>
        <v>0.86217751260731201</v>
      </c>
      <c r="AI48" s="100">
        <f t="shared" si="25"/>
        <v>0.56217751260731197</v>
      </c>
      <c r="AJ48" s="95">
        <f t="shared" si="26"/>
        <v>5908.1705555555563</v>
      </c>
      <c r="AK48" s="98">
        <f t="shared" si="27"/>
        <v>3852.3860555555566</v>
      </c>
      <c r="AL48" s="98">
        <f t="shared" si="28"/>
        <v>1027.8922500000001</v>
      </c>
      <c r="AM48" s="101">
        <f t="shared" si="29"/>
        <v>0.15</v>
      </c>
      <c r="AN48" s="98">
        <f t="shared" si="30"/>
        <v>1027.8922500000001</v>
      </c>
    </row>
    <row r="49" spans="1:40" x14ac:dyDescent="0.2">
      <c r="A49" s="92" t="s">
        <v>130</v>
      </c>
      <c r="B49" s="105" t="s">
        <v>281</v>
      </c>
      <c r="C49" s="105">
        <v>43</v>
      </c>
      <c r="D49" s="119" t="s">
        <v>114</v>
      </c>
      <c r="E49" s="92" t="s">
        <v>130</v>
      </c>
      <c r="F49" s="102" t="s">
        <v>131</v>
      </c>
      <c r="G49" s="89" t="s">
        <v>55</v>
      </c>
      <c r="H49" s="93" t="s">
        <v>132</v>
      </c>
      <c r="I49" s="125" t="s">
        <v>133</v>
      </c>
      <c r="J49" s="89" t="s">
        <v>119</v>
      </c>
      <c r="K49" s="89" t="s">
        <v>134</v>
      </c>
      <c r="L49" s="89" t="s">
        <v>52</v>
      </c>
      <c r="M49" s="90">
        <v>0.56738010305192199</v>
      </c>
      <c r="N49" s="90">
        <v>0.369599682917162</v>
      </c>
      <c r="O49" s="115">
        <v>1.89</v>
      </c>
      <c r="P49" s="116">
        <v>140.66999999999999</v>
      </c>
      <c r="Q49" s="117">
        <v>34077</v>
      </c>
      <c r="R49" s="118">
        <f t="shared" si="31"/>
        <v>1135.9000000000001</v>
      </c>
      <c r="S49" s="94">
        <v>16</v>
      </c>
      <c r="T49" s="94">
        <f t="shared" si="17"/>
        <v>16</v>
      </c>
      <c r="U49" s="95">
        <v>349</v>
      </c>
      <c r="V49" s="96">
        <v>1</v>
      </c>
      <c r="W49" s="96">
        <v>30</v>
      </c>
      <c r="X49" s="94">
        <v>280</v>
      </c>
      <c r="Y49" s="94">
        <f t="shared" si="18"/>
        <v>134400</v>
      </c>
      <c r="Z49" s="101">
        <v>0.5</v>
      </c>
      <c r="AA49" s="101">
        <v>0.5</v>
      </c>
      <c r="AB49" s="97">
        <f t="shared" si="15"/>
        <v>2044620</v>
      </c>
      <c r="AC49" s="98">
        <f t="shared" si="19"/>
        <v>10470</v>
      </c>
      <c r="AD49" s="98">
        <f t="shared" si="20"/>
        <v>3.942982070017901</v>
      </c>
      <c r="AE49" s="104">
        <f t="shared" si="21"/>
        <v>0.23</v>
      </c>
      <c r="AF49" s="99">
        <f t="shared" si="22"/>
        <v>8061.9000000000005</v>
      </c>
      <c r="AG49" s="95">
        <f t="shared" si="23"/>
        <v>944.44444444444446</v>
      </c>
      <c r="AH49" s="100">
        <f t="shared" si="24"/>
        <v>0.86217751260731201</v>
      </c>
      <c r="AI49" s="100">
        <f t="shared" si="25"/>
        <v>0.56217751260731197</v>
      </c>
      <c r="AJ49" s="95">
        <f t="shared" si="26"/>
        <v>5908.1705555555563</v>
      </c>
      <c r="AK49" s="98">
        <f t="shared" si="27"/>
        <v>3852.3860555555566</v>
      </c>
      <c r="AL49" s="98">
        <f t="shared" si="28"/>
        <v>1027.8922500000001</v>
      </c>
      <c r="AM49" s="101">
        <f t="shared" si="29"/>
        <v>0.15</v>
      </c>
      <c r="AN49" s="98">
        <f t="shared" si="30"/>
        <v>1027.8922500000001</v>
      </c>
    </row>
    <row r="50" spans="1:40" x14ac:dyDescent="0.2">
      <c r="A50" s="92" t="s">
        <v>135</v>
      </c>
      <c r="B50" s="105" t="s">
        <v>281</v>
      </c>
      <c r="C50" s="105">
        <v>44</v>
      </c>
      <c r="D50" s="119" t="s">
        <v>114</v>
      </c>
      <c r="E50" s="92" t="s">
        <v>135</v>
      </c>
      <c r="F50" s="102" t="s">
        <v>136</v>
      </c>
      <c r="G50" s="89" t="s">
        <v>47</v>
      </c>
      <c r="H50" s="93" t="s">
        <v>137</v>
      </c>
      <c r="I50" s="125" t="s">
        <v>118</v>
      </c>
      <c r="J50" s="89" t="s">
        <v>119</v>
      </c>
      <c r="K50" s="89" t="s">
        <v>138</v>
      </c>
      <c r="L50" s="89" t="s">
        <v>52</v>
      </c>
      <c r="M50" s="90">
        <v>0.55818994050910631</v>
      </c>
      <c r="N50" s="90">
        <v>0.4087662687322306</v>
      </c>
      <c r="O50" s="115">
        <v>2.13</v>
      </c>
      <c r="P50" s="116">
        <v>143.84</v>
      </c>
      <c r="Q50" s="117">
        <v>23069</v>
      </c>
      <c r="R50" s="118">
        <f t="shared" si="31"/>
        <v>768.9666666666667</v>
      </c>
      <c r="S50" s="94">
        <v>13</v>
      </c>
      <c r="T50" s="94">
        <f t="shared" si="17"/>
        <v>13</v>
      </c>
      <c r="U50" s="95">
        <v>349</v>
      </c>
      <c r="V50" s="96">
        <v>1</v>
      </c>
      <c r="W50" s="96">
        <v>30</v>
      </c>
      <c r="X50" s="94">
        <v>280</v>
      </c>
      <c r="Y50" s="94">
        <f t="shared" si="18"/>
        <v>109200</v>
      </c>
      <c r="Z50" s="101">
        <v>0.5</v>
      </c>
      <c r="AA50" s="101">
        <v>0.5</v>
      </c>
      <c r="AB50" s="97">
        <f t="shared" si="15"/>
        <v>1124613.75</v>
      </c>
      <c r="AC50" s="98">
        <f t="shared" si="19"/>
        <v>10470</v>
      </c>
      <c r="AD50" s="98">
        <f t="shared" si="20"/>
        <v>7.168594550795774</v>
      </c>
      <c r="AE50" s="104">
        <f t="shared" si="21"/>
        <v>0.23</v>
      </c>
      <c r="AF50" s="99">
        <f t="shared" si="22"/>
        <v>8061.9000000000005</v>
      </c>
      <c r="AG50" s="95">
        <f t="shared" si="23"/>
        <v>944.44444444444446</v>
      </c>
      <c r="AH50" s="100">
        <f t="shared" si="24"/>
        <v>0.86217751260731201</v>
      </c>
      <c r="AI50" s="100">
        <f t="shared" si="25"/>
        <v>0.56217751260731197</v>
      </c>
      <c r="AJ50" s="95">
        <f t="shared" si="26"/>
        <v>5908.1705555555563</v>
      </c>
      <c r="AK50" s="98">
        <f t="shared" si="27"/>
        <v>3852.3860555555566</v>
      </c>
      <c r="AL50" s="98">
        <f t="shared" si="28"/>
        <v>1027.8922500000001</v>
      </c>
      <c r="AM50" s="101">
        <f t="shared" si="29"/>
        <v>0.15</v>
      </c>
      <c r="AN50" s="98">
        <f t="shared" si="30"/>
        <v>1027.8922500000001</v>
      </c>
    </row>
    <row r="51" spans="1:40" x14ac:dyDescent="0.2">
      <c r="A51" s="92" t="s">
        <v>139</v>
      </c>
      <c r="B51" s="105" t="s">
        <v>281</v>
      </c>
      <c r="C51" s="105">
        <v>45</v>
      </c>
      <c r="D51" s="119" t="s">
        <v>114</v>
      </c>
      <c r="E51" s="92" t="s">
        <v>139</v>
      </c>
      <c r="F51" s="102" t="s">
        <v>140</v>
      </c>
      <c r="G51" s="89" t="s">
        <v>55</v>
      </c>
      <c r="H51" s="93" t="s">
        <v>141</v>
      </c>
      <c r="I51" s="125" t="s">
        <v>118</v>
      </c>
      <c r="J51" s="89" t="s">
        <v>119</v>
      </c>
      <c r="K51" s="89" t="s">
        <v>142</v>
      </c>
      <c r="L51" s="89" t="s">
        <v>52</v>
      </c>
      <c r="M51" s="90">
        <v>0.54966887417218502</v>
      </c>
      <c r="N51" s="90">
        <v>0.38454746136865298</v>
      </c>
      <c r="O51" s="115">
        <v>2.29</v>
      </c>
      <c r="P51" s="116">
        <v>137.91999999999999</v>
      </c>
      <c r="Q51" s="117">
        <v>28402</v>
      </c>
      <c r="R51" s="118">
        <f t="shared" si="31"/>
        <v>946.73333333333335</v>
      </c>
      <c r="S51" s="94">
        <v>17</v>
      </c>
      <c r="T51" s="94">
        <f t="shared" si="17"/>
        <v>17</v>
      </c>
      <c r="U51" s="95">
        <v>349</v>
      </c>
      <c r="V51" s="96">
        <v>1</v>
      </c>
      <c r="W51" s="96">
        <v>30</v>
      </c>
      <c r="X51" s="94">
        <v>280</v>
      </c>
      <c r="Y51" s="94">
        <f t="shared" si="18"/>
        <v>142800</v>
      </c>
      <c r="Z51" s="101">
        <v>0.5</v>
      </c>
      <c r="AA51" s="101">
        <v>0.5</v>
      </c>
      <c r="AB51" s="97">
        <f t="shared" si="15"/>
        <v>1810627.5</v>
      </c>
      <c r="AC51" s="98">
        <f t="shared" si="19"/>
        <v>10470</v>
      </c>
      <c r="AD51" s="98">
        <f t="shared" si="20"/>
        <v>4.4525447669385336</v>
      </c>
      <c r="AE51" s="104">
        <f t="shared" si="21"/>
        <v>0.23</v>
      </c>
      <c r="AF51" s="99">
        <f t="shared" si="22"/>
        <v>8061.9000000000005</v>
      </c>
      <c r="AG51" s="95">
        <f t="shared" si="23"/>
        <v>944.44444444444446</v>
      </c>
      <c r="AH51" s="100">
        <f t="shared" si="24"/>
        <v>0.86217751260731201</v>
      </c>
      <c r="AI51" s="100">
        <f t="shared" si="25"/>
        <v>0.56217751260731197</v>
      </c>
      <c r="AJ51" s="95">
        <f t="shared" si="26"/>
        <v>5908.1705555555563</v>
      </c>
      <c r="AK51" s="98">
        <f t="shared" si="27"/>
        <v>3852.3860555555566</v>
      </c>
      <c r="AL51" s="98">
        <f t="shared" si="28"/>
        <v>1027.8922500000001</v>
      </c>
      <c r="AM51" s="101">
        <f t="shared" si="29"/>
        <v>0.15</v>
      </c>
      <c r="AN51" s="98">
        <f t="shared" si="30"/>
        <v>1027.8922500000001</v>
      </c>
    </row>
    <row r="52" spans="1:40" x14ac:dyDescent="0.2">
      <c r="A52" s="92" t="s">
        <v>143</v>
      </c>
      <c r="B52" s="105" t="s">
        <v>281</v>
      </c>
      <c r="C52" s="105">
        <v>46</v>
      </c>
      <c r="D52" s="119" t="s">
        <v>114</v>
      </c>
      <c r="E52" s="92" t="s">
        <v>143</v>
      </c>
      <c r="F52" s="102" t="s">
        <v>144</v>
      </c>
      <c r="G52" s="89" t="s">
        <v>47</v>
      </c>
      <c r="H52" s="93" t="s">
        <v>145</v>
      </c>
      <c r="I52" s="125" t="s">
        <v>118</v>
      </c>
      <c r="J52" s="89" t="s">
        <v>119</v>
      </c>
      <c r="K52" s="89" t="s">
        <v>146</v>
      </c>
      <c r="L52" s="89" t="s">
        <v>52</v>
      </c>
      <c r="M52" s="90">
        <v>0.56663895869249692</v>
      </c>
      <c r="N52" s="90">
        <v>0.39720369036911352</v>
      </c>
      <c r="O52" s="115">
        <v>2.21</v>
      </c>
      <c r="P52" s="116">
        <v>150.53</v>
      </c>
      <c r="Q52" s="117">
        <v>29773</v>
      </c>
      <c r="R52" s="118">
        <f t="shared" si="31"/>
        <v>992.43333333333328</v>
      </c>
      <c r="S52" s="94">
        <v>14</v>
      </c>
      <c r="T52" s="94">
        <f t="shared" si="17"/>
        <v>14</v>
      </c>
      <c r="U52" s="95">
        <v>349</v>
      </c>
      <c r="V52" s="96">
        <v>1</v>
      </c>
      <c r="W52" s="96">
        <v>30</v>
      </c>
      <c r="X52" s="94">
        <v>280</v>
      </c>
      <c r="Y52" s="94">
        <f t="shared" si="18"/>
        <v>117600</v>
      </c>
      <c r="Z52" s="101">
        <v>0.5</v>
      </c>
      <c r="AA52" s="101">
        <v>0.5</v>
      </c>
      <c r="AB52" s="97">
        <f t="shared" si="15"/>
        <v>1563082.5</v>
      </c>
      <c r="AC52" s="98">
        <f t="shared" si="19"/>
        <v>10470</v>
      </c>
      <c r="AD52" s="98">
        <f t="shared" si="20"/>
        <v>5.1576932119705781</v>
      </c>
      <c r="AE52" s="104">
        <f t="shared" si="21"/>
        <v>0.23</v>
      </c>
      <c r="AF52" s="99">
        <f t="shared" si="22"/>
        <v>8061.9000000000005</v>
      </c>
      <c r="AG52" s="95">
        <f t="shared" si="23"/>
        <v>944.44444444444446</v>
      </c>
      <c r="AH52" s="100">
        <f t="shared" si="24"/>
        <v>0.86217751260731201</v>
      </c>
      <c r="AI52" s="100">
        <f t="shared" si="25"/>
        <v>0.56217751260731197</v>
      </c>
      <c r="AJ52" s="95">
        <f t="shared" si="26"/>
        <v>5908.1705555555563</v>
      </c>
      <c r="AK52" s="98">
        <f t="shared" si="27"/>
        <v>3852.3860555555566</v>
      </c>
      <c r="AL52" s="98">
        <f t="shared" si="28"/>
        <v>1027.8922500000001</v>
      </c>
      <c r="AM52" s="101">
        <f t="shared" si="29"/>
        <v>0.15</v>
      </c>
      <c r="AN52" s="98">
        <f t="shared" si="30"/>
        <v>1027.8922500000001</v>
      </c>
    </row>
    <row r="53" spans="1:40" x14ac:dyDescent="0.2">
      <c r="A53" s="92" t="s">
        <v>147</v>
      </c>
      <c r="B53" s="105" t="s">
        <v>281</v>
      </c>
      <c r="C53" s="105">
        <v>47</v>
      </c>
      <c r="D53" s="119" t="s">
        <v>114</v>
      </c>
      <c r="E53" s="92" t="s">
        <v>147</v>
      </c>
      <c r="F53" s="102" t="s">
        <v>148</v>
      </c>
      <c r="G53" s="89" t="s">
        <v>55</v>
      </c>
      <c r="H53" s="93" t="s">
        <v>149</v>
      </c>
      <c r="I53" s="125" t="s">
        <v>150</v>
      </c>
      <c r="J53" s="89" t="s">
        <v>119</v>
      </c>
      <c r="K53" s="89" t="s">
        <v>151</v>
      </c>
      <c r="L53" s="89" t="s">
        <v>121</v>
      </c>
      <c r="M53" s="90">
        <v>0.67836785915763431</v>
      </c>
      <c r="N53" s="90">
        <v>0.32163214084236569</v>
      </c>
      <c r="O53" s="115">
        <v>2.13</v>
      </c>
      <c r="P53" s="116">
        <v>119.56</v>
      </c>
      <c r="Q53" s="117">
        <v>26288</v>
      </c>
      <c r="R53" s="118">
        <f t="shared" si="31"/>
        <v>876.26666666666665</v>
      </c>
      <c r="S53" s="94">
        <v>18</v>
      </c>
      <c r="T53" s="94">
        <f t="shared" si="17"/>
        <v>18</v>
      </c>
      <c r="U53" s="95">
        <v>349</v>
      </c>
      <c r="V53" s="96">
        <v>1</v>
      </c>
      <c r="W53" s="96">
        <v>30</v>
      </c>
      <c r="X53" s="94">
        <v>280</v>
      </c>
      <c r="Y53" s="94">
        <f t="shared" si="18"/>
        <v>151200</v>
      </c>
      <c r="Z53" s="101">
        <v>0.5</v>
      </c>
      <c r="AA53" s="101">
        <v>0.5</v>
      </c>
      <c r="AB53" s="97">
        <f t="shared" si="15"/>
        <v>1774440</v>
      </c>
      <c r="AC53" s="98">
        <f t="shared" si="19"/>
        <v>10470</v>
      </c>
      <c r="AD53" s="98">
        <f t="shared" si="20"/>
        <v>4.5433488875363492</v>
      </c>
      <c r="AE53" s="104">
        <f t="shared" si="21"/>
        <v>0.23</v>
      </c>
      <c r="AF53" s="99">
        <f t="shared" si="22"/>
        <v>8061.9000000000005</v>
      </c>
      <c r="AG53" s="95">
        <f t="shared" si="23"/>
        <v>944.44444444444446</v>
      </c>
      <c r="AH53" s="100">
        <f t="shared" si="24"/>
        <v>0.86217751260731201</v>
      </c>
      <c r="AI53" s="100">
        <f t="shared" si="25"/>
        <v>0.56217751260731197</v>
      </c>
      <c r="AJ53" s="95">
        <f t="shared" si="26"/>
        <v>5908.1705555555563</v>
      </c>
      <c r="AK53" s="98">
        <f t="shared" si="27"/>
        <v>3852.3860555555566</v>
      </c>
      <c r="AL53" s="98">
        <f t="shared" si="28"/>
        <v>1027.8922500000001</v>
      </c>
      <c r="AM53" s="101">
        <f t="shared" si="29"/>
        <v>0.15</v>
      </c>
      <c r="AN53" s="98">
        <f t="shared" si="30"/>
        <v>1027.8922500000001</v>
      </c>
    </row>
    <row r="54" spans="1:40" x14ac:dyDescent="0.2">
      <c r="A54" s="92" t="s">
        <v>152</v>
      </c>
      <c r="B54" s="105" t="s">
        <v>281</v>
      </c>
      <c r="C54" s="105">
        <v>48</v>
      </c>
      <c r="D54" s="119" t="s">
        <v>351</v>
      </c>
      <c r="E54" s="92" t="s">
        <v>152</v>
      </c>
      <c r="F54" s="102" t="s">
        <v>153</v>
      </c>
      <c r="G54" s="89" t="s">
        <v>47</v>
      </c>
      <c r="H54" s="93" t="s">
        <v>154</v>
      </c>
      <c r="I54" s="125" t="s">
        <v>118</v>
      </c>
      <c r="J54" s="89" t="s">
        <v>119</v>
      </c>
      <c r="K54" s="89" t="s">
        <v>155</v>
      </c>
      <c r="L54" s="89" t="s">
        <v>52</v>
      </c>
      <c r="M54" s="90">
        <v>0.60835152838427897</v>
      </c>
      <c r="N54" s="90">
        <v>0.32887554585152801</v>
      </c>
      <c r="O54" s="115">
        <v>2</v>
      </c>
      <c r="P54" s="116">
        <v>101.35</v>
      </c>
      <c r="Q54" s="117">
        <v>28628</v>
      </c>
      <c r="R54" s="118">
        <f t="shared" si="31"/>
        <v>954.26666666666665</v>
      </c>
      <c r="S54" s="94">
        <v>6</v>
      </c>
      <c r="T54" s="94">
        <f t="shared" si="17"/>
        <v>6</v>
      </c>
      <c r="U54" s="95">
        <v>349</v>
      </c>
      <c r="V54" s="96">
        <v>1</v>
      </c>
      <c r="W54" s="96">
        <v>30</v>
      </c>
      <c r="X54" s="94">
        <v>280</v>
      </c>
      <c r="Y54" s="94">
        <f t="shared" si="18"/>
        <v>50400</v>
      </c>
      <c r="Z54" s="101">
        <v>0.5</v>
      </c>
      <c r="AA54" s="101">
        <v>0.5</v>
      </c>
      <c r="AB54" s="97">
        <f t="shared" si="15"/>
        <v>644130</v>
      </c>
      <c r="AC54" s="98">
        <f t="shared" si="19"/>
        <v>10470</v>
      </c>
      <c r="AD54" s="98">
        <f t="shared" si="20"/>
        <v>12.51595174887057</v>
      </c>
      <c r="AE54" s="104">
        <f t="shared" si="21"/>
        <v>0.23</v>
      </c>
      <c r="AF54" s="99">
        <f t="shared" si="22"/>
        <v>8061.9000000000005</v>
      </c>
      <c r="AG54" s="95">
        <f t="shared" si="23"/>
        <v>944.44444444444446</v>
      </c>
      <c r="AH54" s="100">
        <f t="shared" si="24"/>
        <v>0.86217751260731201</v>
      </c>
      <c r="AI54" s="100">
        <f t="shared" si="25"/>
        <v>0.56217751260731197</v>
      </c>
      <c r="AJ54" s="95">
        <f t="shared" si="26"/>
        <v>5908.1705555555563</v>
      </c>
      <c r="AK54" s="98">
        <f t="shared" si="27"/>
        <v>3852.3860555555566</v>
      </c>
      <c r="AL54" s="98">
        <f t="shared" si="28"/>
        <v>1027.8922500000001</v>
      </c>
      <c r="AM54" s="101">
        <f t="shared" si="29"/>
        <v>0.15</v>
      </c>
      <c r="AN54" s="98">
        <f t="shared" si="30"/>
        <v>1027.8922500000001</v>
      </c>
    </row>
    <row r="55" spans="1:40" x14ac:dyDescent="0.2">
      <c r="A55" s="92" t="s">
        <v>156</v>
      </c>
      <c r="B55" s="105" t="s">
        <v>281</v>
      </c>
      <c r="C55" s="105">
        <v>49</v>
      </c>
      <c r="D55" s="119" t="s">
        <v>114</v>
      </c>
      <c r="E55" s="92" t="s">
        <v>156</v>
      </c>
      <c r="F55" s="102" t="s">
        <v>157</v>
      </c>
      <c r="G55" s="89" t="s">
        <v>55</v>
      </c>
      <c r="H55" s="93" t="s">
        <v>158</v>
      </c>
      <c r="I55" s="125" t="s">
        <v>118</v>
      </c>
      <c r="J55" s="89" t="s">
        <v>119</v>
      </c>
      <c r="K55" s="89" t="s">
        <v>159</v>
      </c>
      <c r="L55" s="89" t="s">
        <v>52</v>
      </c>
      <c r="M55" s="90">
        <v>0.65037691707824197</v>
      </c>
      <c r="N55" s="90">
        <v>0.31946971666233398</v>
      </c>
      <c r="O55" s="115">
        <v>2.16</v>
      </c>
      <c r="P55" s="116">
        <v>137.63</v>
      </c>
      <c r="Q55" s="117">
        <v>20772</v>
      </c>
      <c r="R55" s="118">
        <f t="shared" si="31"/>
        <v>692.4</v>
      </c>
      <c r="S55" s="94">
        <v>16</v>
      </c>
      <c r="T55" s="94">
        <f t="shared" si="17"/>
        <v>16</v>
      </c>
      <c r="U55" s="95">
        <v>349</v>
      </c>
      <c r="V55" s="96">
        <v>1</v>
      </c>
      <c r="W55" s="96">
        <v>30</v>
      </c>
      <c r="X55" s="94">
        <v>280</v>
      </c>
      <c r="Y55" s="94">
        <f t="shared" si="18"/>
        <v>134400</v>
      </c>
      <c r="Z55" s="101">
        <v>0.5</v>
      </c>
      <c r="AA55" s="101">
        <v>0.5</v>
      </c>
      <c r="AB55" s="97">
        <f t="shared" si="15"/>
        <v>1246320</v>
      </c>
      <c r="AC55" s="98">
        <f t="shared" si="19"/>
        <v>10470</v>
      </c>
      <c r="AD55" s="98">
        <f t="shared" si="20"/>
        <v>6.4685634507991532</v>
      </c>
      <c r="AE55" s="104">
        <f t="shared" si="21"/>
        <v>0.23</v>
      </c>
      <c r="AF55" s="99">
        <f t="shared" si="22"/>
        <v>8061.9000000000005</v>
      </c>
      <c r="AG55" s="95">
        <f t="shared" si="23"/>
        <v>944.44444444444446</v>
      </c>
      <c r="AH55" s="100">
        <f t="shared" si="24"/>
        <v>0.86217751260731201</v>
      </c>
      <c r="AI55" s="100">
        <f t="shared" si="25"/>
        <v>0.56217751260731197</v>
      </c>
      <c r="AJ55" s="95">
        <f t="shared" si="26"/>
        <v>5908.1705555555563</v>
      </c>
      <c r="AK55" s="98">
        <f t="shared" si="27"/>
        <v>3852.3860555555566</v>
      </c>
      <c r="AL55" s="98">
        <f t="shared" si="28"/>
        <v>1027.8922500000001</v>
      </c>
      <c r="AM55" s="101">
        <f t="shared" si="29"/>
        <v>0.15</v>
      </c>
      <c r="AN55" s="98">
        <f t="shared" si="30"/>
        <v>1027.8922500000001</v>
      </c>
    </row>
    <row r="56" spans="1:40" x14ac:dyDescent="0.2">
      <c r="A56" s="92" t="s">
        <v>160</v>
      </c>
      <c r="B56" s="105" t="s">
        <v>281</v>
      </c>
      <c r="C56" s="105">
        <v>50</v>
      </c>
      <c r="D56" s="119" t="s">
        <v>114</v>
      </c>
      <c r="E56" s="92" t="s">
        <v>160</v>
      </c>
      <c r="F56" s="102" t="s">
        <v>161</v>
      </c>
      <c r="G56" s="89" t="s">
        <v>55</v>
      </c>
      <c r="H56" s="93" t="s">
        <v>162</v>
      </c>
      <c r="I56" s="125" t="s">
        <v>118</v>
      </c>
      <c r="J56" s="89" t="s">
        <v>119</v>
      </c>
      <c r="K56" s="89" t="s">
        <v>163</v>
      </c>
      <c r="L56" s="89" t="s">
        <v>52</v>
      </c>
      <c r="M56" s="90">
        <v>0.54972785749628805</v>
      </c>
      <c r="N56" s="90">
        <v>0.40994557149925698</v>
      </c>
      <c r="O56" s="115">
        <v>2.15</v>
      </c>
      <c r="P56" s="116">
        <v>136.63999999999999</v>
      </c>
      <c r="Q56" s="117">
        <v>27380</v>
      </c>
      <c r="R56" s="118">
        <f t="shared" si="31"/>
        <v>912.66666666666663</v>
      </c>
      <c r="S56" s="94">
        <v>16</v>
      </c>
      <c r="T56" s="94">
        <f t="shared" si="17"/>
        <v>16</v>
      </c>
      <c r="U56" s="95">
        <v>349</v>
      </c>
      <c r="V56" s="96">
        <v>1</v>
      </c>
      <c r="W56" s="96">
        <v>30</v>
      </c>
      <c r="X56" s="94">
        <v>280</v>
      </c>
      <c r="Y56" s="94">
        <f t="shared" si="18"/>
        <v>134400</v>
      </c>
      <c r="Z56" s="101">
        <v>0.5</v>
      </c>
      <c r="AA56" s="101">
        <v>0.5</v>
      </c>
      <c r="AB56" s="97">
        <f t="shared" si="15"/>
        <v>1642800</v>
      </c>
      <c r="AC56" s="98">
        <f t="shared" si="19"/>
        <v>10470</v>
      </c>
      <c r="AD56" s="98">
        <f t="shared" si="20"/>
        <v>4.9074141709276846</v>
      </c>
      <c r="AE56" s="104">
        <f t="shared" si="21"/>
        <v>0.23</v>
      </c>
      <c r="AF56" s="99">
        <f t="shared" si="22"/>
        <v>8061.9000000000005</v>
      </c>
      <c r="AG56" s="95">
        <f t="shared" si="23"/>
        <v>944.44444444444446</v>
      </c>
      <c r="AH56" s="100">
        <f t="shared" si="24"/>
        <v>0.86217751260731201</v>
      </c>
      <c r="AI56" s="100">
        <f t="shared" si="25"/>
        <v>0.56217751260731197</v>
      </c>
      <c r="AJ56" s="95">
        <f t="shared" si="26"/>
        <v>5908.1705555555563</v>
      </c>
      <c r="AK56" s="98">
        <f t="shared" si="27"/>
        <v>3852.3860555555566</v>
      </c>
      <c r="AL56" s="98">
        <f t="shared" si="28"/>
        <v>1027.8922500000001</v>
      </c>
      <c r="AM56" s="101">
        <f t="shared" si="29"/>
        <v>0.15</v>
      </c>
      <c r="AN56" s="98">
        <f t="shared" si="30"/>
        <v>1027.8922500000001</v>
      </c>
    </row>
    <row r="57" spans="1:40" x14ac:dyDescent="0.2">
      <c r="A57" s="92" t="s">
        <v>164</v>
      </c>
      <c r="B57" s="105" t="s">
        <v>281</v>
      </c>
      <c r="C57" s="105">
        <v>51</v>
      </c>
      <c r="D57" s="119" t="s">
        <v>114</v>
      </c>
      <c r="E57" s="92" t="s">
        <v>164</v>
      </c>
      <c r="F57" s="102" t="s">
        <v>165</v>
      </c>
      <c r="G57" s="89" t="s">
        <v>47</v>
      </c>
      <c r="H57" s="93" t="s">
        <v>166</v>
      </c>
      <c r="I57" s="125" t="s">
        <v>118</v>
      </c>
      <c r="J57" s="89" t="s">
        <v>119</v>
      </c>
      <c r="K57" s="89" t="s">
        <v>167</v>
      </c>
      <c r="L57" s="89" t="s">
        <v>52</v>
      </c>
      <c r="M57" s="90">
        <v>0.69992546054733196</v>
      </c>
      <c r="N57" s="90">
        <v>0.25780002129698598</v>
      </c>
      <c r="O57" s="115">
        <v>2.0699999999999998</v>
      </c>
      <c r="P57" s="116">
        <v>160.71</v>
      </c>
      <c r="Q57" s="117">
        <v>31329</v>
      </c>
      <c r="R57" s="118">
        <f t="shared" si="31"/>
        <v>1044.3</v>
      </c>
      <c r="S57" s="94">
        <v>16</v>
      </c>
      <c r="T57" s="94">
        <f t="shared" si="17"/>
        <v>16</v>
      </c>
      <c r="U57" s="95">
        <v>349</v>
      </c>
      <c r="V57" s="96">
        <v>1</v>
      </c>
      <c r="W57" s="96">
        <v>30</v>
      </c>
      <c r="X57" s="94">
        <v>280</v>
      </c>
      <c r="Y57" s="94">
        <f t="shared" si="18"/>
        <v>134400</v>
      </c>
      <c r="Z57" s="101">
        <v>0.5</v>
      </c>
      <c r="AA57" s="101">
        <v>0.5</v>
      </c>
      <c r="AB57" s="97">
        <f t="shared" si="15"/>
        <v>1879740</v>
      </c>
      <c r="AC57" s="98">
        <f t="shared" si="19"/>
        <v>10470</v>
      </c>
      <c r="AD57" s="98">
        <f t="shared" si="20"/>
        <v>4.2888378179961064</v>
      </c>
      <c r="AE57" s="104">
        <f t="shared" si="21"/>
        <v>0.23</v>
      </c>
      <c r="AF57" s="99">
        <f t="shared" si="22"/>
        <v>8061.9000000000005</v>
      </c>
      <c r="AG57" s="95">
        <f t="shared" si="23"/>
        <v>944.44444444444446</v>
      </c>
      <c r="AH57" s="100">
        <f t="shared" si="24"/>
        <v>0.86217751260731201</v>
      </c>
      <c r="AI57" s="100">
        <f t="shared" si="25"/>
        <v>0.56217751260731197</v>
      </c>
      <c r="AJ57" s="95">
        <f t="shared" si="26"/>
        <v>5908.1705555555563</v>
      </c>
      <c r="AK57" s="98">
        <f t="shared" si="27"/>
        <v>3852.3860555555566</v>
      </c>
      <c r="AL57" s="98">
        <f t="shared" si="28"/>
        <v>1027.8922500000001</v>
      </c>
      <c r="AM57" s="101">
        <f t="shared" si="29"/>
        <v>0.15</v>
      </c>
      <c r="AN57" s="98">
        <f t="shared" si="30"/>
        <v>1027.8922500000001</v>
      </c>
    </row>
    <row r="58" spans="1:40" x14ac:dyDescent="0.2">
      <c r="A58" s="92" t="s">
        <v>168</v>
      </c>
      <c r="B58" s="105" t="s">
        <v>281</v>
      </c>
      <c r="C58" s="105">
        <v>52</v>
      </c>
      <c r="D58" s="119" t="s">
        <v>114</v>
      </c>
      <c r="E58" s="92" t="s">
        <v>168</v>
      </c>
      <c r="F58" s="102" t="s">
        <v>169</v>
      </c>
      <c r="G58" s="89" t="s">
        <v>55</v>
      </c>
      <c r="H58" s="93" t="s">
        <v>170</v>
      </c>
      <c r="I58" s="125" t="s">
        <v>118</v>
      </c>
      <c r="J58" s="89" t="s">
        <v>119</v>
      </c>
      <c r="K58" s="89" t="s">
        <v>171</v>
      </c>
      <c r="L58" s="89" t="s">
        <v>121</v>
      </c>
      <c r="M58" s="90">
        <v>0.70921052631578896</v>
      </c>
      <c r="N58" s="90">
        <v>0.25</v>
      </c>
      <c r="O58" s="115">
        <v>2.25</v>
      </c>
      <c r="P58" s="116">
        <v>135.01</v>
      </c>
      <c r="Q58" s="117">
        <v>24555</v>
      </c>
      <c r="R58" s="118">
        <f t="shared" si="31"/>
        <v>818.5</v>
      </c>
      <c r="S58" s="94">
        <v>16</v>
      </c>
      <c r="T58" s="94">
        <f t="shared" si="17"/>
        <v>16</v>
      </c>
      <c r="U58" s="95">
        <v>349</v>
      </c>
      <c r="V58" s="96">
        <v>1</v>
      </c>
      <c r="W58" s="96">
        <v>30</v>
      </c>
      <c r="X58" s="94">
        <v>280</v>
      </c>
      <c r="Y58" s="94">
        <f t="shared" si="18"/>
        <v>134400</v>
      </c>
      <c r="Z58" s="101">
        <v>0.5</v>
      </c>
      <c r="AA58" s="101">
        <v>0.5</v>
      </c>
      <c r="AB58" s="97">
        <f t="shared" si="15"/>
        <v>1473300</v>
      </c>
      <c r="AC58" s="98">
        <f t="shared" si="19"/>
        <v>10470</v>
      </c>
      <c r="AD58" s="98">
        <f t="shared" si="20"/>
        <v>5.4720016289961313</v>
      </c>
      <c r="AE58" s="104">
        <f t="shared" si="21"/>
        <v>0.23</v>
      </c>
      <c r="AF58" s="99">
        <f t="shared" si="22"/>
        <v>8061.9000000000005</v>
      </c>
      <c r="AG58" s="95">
        <f t="shared" si="23"/>
        <v>944.44444444444446</v>
      </c>
      <c r="AH58" s="100">
        <f t="shared" si="24"/>
        <v>0.86217751260731201</v>
      </c>
      <c r="AI58" s="100">
        <f t="shared" si="25"/>
        <v>0.56217751260731197</v>
      </c>
      <c r="AJ58" s="95">
        <f t="shared" si="26"/>
        <v>5908.1705555555563</v>
      </c>
      <c r="AK58" s="98">
        <f t="shared" si="27"/>
        <v>3852.3860555555566</v>
      </c>
      <c r="AL58" s="98">
        <f t="shared" si="28"/>
        <v>1027.8922500000001</v>
      </c>
      <c r="AM58" s="101">
        <f t="shared" si="29"/>
        <v>0.15</v>
      </c>
      <c r="AN58" s="98">
        <f t="shared" si="30"/>
        <v>1027.8922500000001</v>
      </c>
    </row>
    <row r="59" spans="1:40" x14ac:dyDescent="0.2">
      <c r="A59" s="92" t="s">
        <v>172</v>
      </c>
      <c r="B59" s="105" t="s">
        <v>281</v>
      </c>
      <c r="C59" s="105">
        <v>53</v>
      </c>
      <c r="D59" s="119" t="s">
        <v>114</v>
      </c>
      <c r="E59" s="92" t="s">
        <v>172</v>
      </c>
      <c r="F59" s="102" t="s">
        <v>173</v>
      </c>
      <c r="G59" s="89" t="s">
        <v>55</v>
      </c>
      <c r="H59" s="93" t="s">
        <v>174</v>
      </c>
      <c r="I59" s="125" t="s">
        <v>175</v>
      </c>
      <c r="J59" s="89" t="s">
        <v>119</v>
      </c>
      <c r="K59" s="89" t="s">
        <v>176</v>
      </c>
      <c r="L59" s="89" t="s">
        <v>52</v>
      </c>
      <c r="M59" s="90">
        <v>0.722787783868441</v>
      </c>
      <c r="N59" s="90">
        <v>0.242952231793265</v>
      </c>
      <c r="O59" s="115">
        <v>2.1</v>
      </c>
      <c r="P59" s="116">
        <v>130.93</v>
      </c>
      <c r="Q59" s="117">
        <v>19901</v>
      </c>
      <c r="R59" s="118">
        <f t="shared" si="31"/>
        <v>663.36666666666667</v>
      </c>
      <c r="S59" s="94">
        <v>16</v>
      </c>
      <c r="T59" s="94">
        <f t="shared" si="17"/>
        <v>16</v>
      </c>
      <c r="U59" s="95">
        <v>349</v>
      </c>
      <c r="V59" s="96">
        <v>1</v>
      </c>
      <c r="W59" s="96">
        <v>30</v>
      </c>
      <c r="X59" s="94">
        <v>280</v>
      </c>
      <c r="Y59" s="94">
        <f t="shared" si="18"/>
        <v>134400</v>
      </c>
      <c r="Z59" s="101">
        <v>0.5</v>
      </c>
      <c r="AA59" s="101">
        <v>0.5</v>
      </c>
      <c r="AB59" s="97">
        <f t="shared" si="15"/>
        <v>1194060</v>
      </c>
      <c r="AC59" s="98">
        <f t="shared" si="19"/>
        <v>10470</v>
      </c>
      <c r="AD59" s="98">
        <f t="shared" si="20"/>
        <v>6.7516707703130505</v>
      </c>
      <c r="AE59" s="104">
        <f t="shared" si="21"/>
        <v>0.23</v>
      </c>
      <c r="AF59" s="99">
        <f t="shared" si="22"/>
        <v>8061.9000000000005</v>
      </c>
      <c r="AG59" s="95">
        <f t="shared" si="23"/>
        <v>944.44444444444446</v>
      </c>
      <c r="AH59" s="100">
        <f t="shared" si="24"/>
        <v>0.86217751260731201</v>
      </c>
      <c r="AI59" s="100">
        <f t="shared" si="25"/>
        <v>0.56217751260731197</v>
      </c>
      <c r="AJ59" s="95">
        <f t="shared" si="26"/>
        <v>5908.1705555555563</v>
      </c>
      <c r="AK59" s="98">
        <f t="shared" si="27"/>
        <v>3852.3860555555566</v>
      </c>
      <c r="AL59" s="98">
        <f t="shared" si="28"/>
        <v>1027.8922500000001</v>
      </c>
      <c r="AM59" s="101">
        <f t="shared" si="29"/>
        <v>0.15</v>
      </c>
      <c r="AN59" s="98">
        <f t="shared" si="30"/>
        <v>1027.8922500000001</v>
      </c>
    </row>
    <row r="60" spans="1:40" x14ac:dyDescent="0.2">
      <c r="A60" s="92" t="s">
        <v>177</v>
      </c>
      <c r="B60" s="105" t="s">
        <v>281</v>
      </c>
      <c r="C60" s="105">
        <v>54</v>
      </c>
      <c r="D60" s="119" t="s">
        <v>114</v>
      </c>
      <c r="E60" s="92" t="s">
        <v>177</v>
      </c>
      <c r="F60" s="102" t="s">
        <v>178</v>
      </c>
      <c r="G60" s="89" t="s">
        <v>55</v>
      </c>
      <c r="H60" s="93" t="s">
        <v>179</v>
      </c>
      <c r="I60" s="125" t="s">
        <v>150</v>
      </c>
      <c r="J60" s="89" t="s">
        <v>119</v>
      </c>
      <c r="K60" s="89" t="s">
        <v>180</v>
      </c>
      <c r="L60" s="89" t="s">
        <v>52</v>
      </c>
      <c r="M60" s="90">
        <v>0.71018766756032103</v>
      </c>
      <c r="N60" s="90">
        <v>0.26032171581769398</v>
      </c>
      <c r="O60" s="115">
        <v>1.71</v>
      </c>
      <c r="P60" s="116">
        <v>126.59</v>
      </c>
      <c r="Q60" s="117">
        <v>28936</v>
      </c>
      <c r="R60" s="118">
        <f t="shared" si="31"/>
        <v>964.5333333333333</v>
      </c>
      <c r="S60" s="94">
        <v>11</v>
      </c>
      <c r="T60" s="94">
        <f t="shared" si="17"/>
        <v>11</v>
      </c>
      <c r="U60" s="95">
        <v>349</v>
      </c>
      <c r="V60" s="96">
        <v>1</v>
      </c>
      <c r="W60" s="96">
        <v>30</v>
      </c>
      <c r="X60" s="94">
        <v>280</v>
      </c>
      <c r="Y60" s="94">
        <f t="shared" si="18"/>
        <v>92400</v>
      </c>
      <c r="Z60" s="101">
        <v>0.5</v>
      </c>
      <c r="AA60" s="101">
        <v>0.5</v>
      </c>
      <c r="AB60" s="97">
        <f t="shared" si="15"/>
        <v>1193610</v>
      </c>
      <c r="AC60" s="98">
        <f t="shared" si="19"/>
        <v>10470</v>
      </c>
      <c r="AD60" s="98">
        <f t="shared" si="20"/>
        <v>6.754216201271773</v>
      </c>
      <c r="AE60" s="104">
        <f t="shared" si="21"/>
        <v>0.23</v>
      </c>
      <c r="AF60" s="99">
        <f t="shared" si="22"/>
        <v>8061.9000000000005</v>
      </c>
      <c r="AG60" s="95">
        <f t="shared" si="23"/>
        <v>944.44444444444446</v>
      </c>
      <c r="AH60" s="100">
        <f t="shared" si="24"/>
        <v>0.86217751260731201</v>
      </c>
      <c r="AI60" s="100">
        <f t="shared" si="25"/>
        <v>0.56217751260731197</v>
      </c>
      <c r="AJ60" s="95">
        <f t="shared" si="26"/>
        <v>5908.1705555555563</v>
      </c>
      <c r="AK60" s="98">
        <f t="shared" si="27"/>
        <v>3852.3860555555566</v>
      </c>
      <c r="AL60" s="98">
        <f t="shared" si="28"/>
        <v>1027.8922500000001</v>
      </c>
      <c r="AM60" s="101">
        <f t="shared" si="29"/>
        <v>0.15</v>
      </c>
      <c r="AN60" s="98">
        <f t="shared" si="30"/>
        <v>1027.8922500000001</v>
      </c>
    </row>
    <row r="61" spans="1:40" x14ac:dyDescent="0.2">
      <c r="A61" s="92">
        <v>615</v>
      </c>
      <c r="B61" s="105" t="s">
        <v>281</v>
      </c>
      <c r="C61" s="105">
        <v>55</v>
      </c>
      <c r="D61" s="119" t="s">
        <v>351</v>
      </c>
      <c r="E61" s="92">
        <v>615</v>
      </c>
      <c r="F61" s="102" t="s">
        <v>352</v>
      </c>
      <c r="G61" s="89" t="s">
        <v>55</v>
      </c>
      <c r="H61" s="93" t="s">
        <v>353</v>
      </c>
      <c r="I61" s="125" t="s">
        <v>354</v>
      </c>
      <c r="J61" s="89" t="s">
        <v>119</v>
      </c>
      <c r="K61" s="89" t="s">
        <v>355</v>
      </c>
      <c r="L61" s="89" t="s">
        <v>52</v>
      </c>
      <c r="M61" s="90">
        <v>0.47833333333333333</v>
      </c>
      <c r="N61" s="90">
        <v>0.31666666666666665</v>
      </c>
      <c r="O61" s="115">
        <v>1.1183962087365977</v>
      </c>
      <c r="P61" s="116">
        <v>54</v>
      </c>
      <c r="Q61" s="117">
        <v>31071.333333333332</v>
      </c>
      <c r="R61" s="118">
        <f t="shared" si="31"/>
        <v>1035.711111111111</v>
      </c>
      <c r="S61" s="94">
        <v>6</v>
      </c>
      <c r="T61" s="94">
        <f t="shared" si="17"/>
        <v>6</v>
      </c>
      <c r="U61" s="95">
        <v>349</v>
      </c>
      <c r="V61" s="96">
        <v>1</v>
      </c>
      <c r="W61" s="96">
        <v>30</v>
      </c>
      <c r="X61" s="94">
        <v>280</v>
      </c>
      <c r="Y61" s="94">
        <f t="shared" si="18"/>
        <v>50400</v>
      </c>
      <c r="Z61" s="101">
        <v>0.5</v>
      </c>
      <c r="AA61" s="101">
        <v>0.5</v>
      </c>
      <c r="AB61" s="97">
        <f t="shared" si="15"/>
        <v>699104.99999999988</v>
      </c>
      <c r="AC61" s="98">
        <f t="shared" si="19"/>
        <v>10470</v>
      </c>
      <c r="AD61" s="98">
        <f t="shared" si="20"/>
        <v>11.531744158602788</v>
      </c>
      <c r="AE61" s="104">
        <f t="shared" si="21"/>
        <v>0.23</v>
      </c>
      <c r="AF61" s="99">
        <f t="shared" si="22"/>
        <v>8061.9000000000005</v>
      </c>
      <c r="AG61" s="95">
        <f t="shared" si="23"/>
        <v>944.44444444444446</v>
      </c>
      <c r="AH61" s="100">
        <f t="shared" si="24"/>
        <v>0.86217751260731201</v>
      </c>
      <c r="AI61" s="100">
        <f t="shared" si="25"/>
        <v>0.56217751260731197</v>
      </c>
      <c r="AJ61" s="95">
        <f t="shared" si="26"/>
        <v>5908.1705555555563</v>
      </c>
      <c r="AK61" s="98">
        <f t="shared" si="27"/>
        <v>3852.3860555555566</v>
      </c>
      <c r="AL61" s="98">
        <f t="shared" si="28"/>
        <v>1027.8922500000001</v>
      </c>
      <c r="AM61" s="101">
        <f t="shared" si="29"/>
        <v>0.15</v>
      </c>
      <c r="AN61" s="98">
        <f t="shared" si="30"/>
        <v>1027.8922500000001</v>
      </c>
    </row>
    <row r="62" spans="1:40" x14ac:dyDescent="0.2">
      <c r="A62" s="92">
        <v>634</v>
      </c>
      <c r="B62" s="122">
        <v>46246</v>
      </c>
      <c r="C62" s="105">
        <v>56</v>
      </c>
      <c r="D62" s="119" t="s">
        <v>114</v>
      </c>
      <c r="E62" s="92">
        <v>634</v>
      </c>
      <c r="F62" s="102" t="s">
        <v>356</v>
      </c>
      <c r="G62" s="89" t="s">
        <v>55</v>
      </c>
      <c r="H62" s="93" t="s">
        <v>357</v>
      </c>
      <c r="I62" s="125" t="s">
        <v>358</v>
      </c>
      <c r="J62" s="89" t="s">
        <v>119</v>
      </c>
      <c r="K62" s="89" t="s">
        <v>359</v>
      </c>
      <c r="L62" s="89" t="s">
        <v>52</v>
      </c>
      <c r="M62" s="90">
        <v>0.52333333333333343</v>
      </c>
      <c r="N62" s="90">
        <v>0.24833333333333329</v>
      </c>
      <c r="O62" s="115">
        <v>1.0938517587653591</v>
      </c>
      <c r="P62" s="116">
        <v>79.333333333333329</v>
      </c>
      <c r="Q62" s="117">
        <v>25778.666666666668</v>
      </c>
      <c r="R62" s="118">
        <f t="shared" si="31"/>
        <v>859.28888888888889</v>
      </c>
      <c r="S62" s="94">
        <v>10</v>
      </c>
      <c r="T62" s="94">
        <f t="shared" si="17"/>
        <v>10</v>
      </c>
      <c r="U62" s="95">
        <v>349</v>
      </c>
      <c r="V62" s="96">
        <v>1</v>
      </c>
      <c r="W62" s="96">
        <v>30</v>
      </c>
      <c r="X62" s="94">
        <v>280</v>
      </c>
      <c r="Y62" s="94">
        <f t="shared" si="18"/>
        <v>84000</v>
      </c>
      <c r="Z62" s="101">
        <v>0.5</v>
      </c>
      <c r="AA62" s="101">
        <v>0.5</v>
      </c>
      <c r="AB62" s="97">
        <f t="shared" si="15"/>
        <v>966700</v>
      </c>
      <c r="AC62" s="98">
        <f t="shared" si="19"/>
        <v>10470</v>
      </c>
      <c r="AD62" s="98">
        <f t="shared" si="20"/>
        <v>8.3396089790007242</v>
      </c>
      <c r="AE62" s="104">
        <f t="shared" si="21"/>
        <v>0.23</v>
      </c>
      <c r="AF62" s="99">
        <f t="shared" si="22"/>
        <v>8061.9000000000005</v>
      </c>
      <c r="AG62" s="95">
        <f t="shared" si="23"/>
        <v>944.44444444444446</v>
      </c>
      <c r="AH62" s="100">
        <f t="shared" si="24"/>
        <v>0.86217751260731201</v>
      </c>
      <c r="AI62" s="100">
        <f t="shared" si="25"/>
        <v>0.56217751260731197</v>
      </c>
      <c r="AJ62" s="95">
        <f t="shared" si="26"/>
        <v>5908.1705555555563</v>
      </c>
      <c r="AK62" s="98">
        <f t="shared" si="27"/>
        <v>3852.3860555555566</v>
      </c>
      <c r="AL62" s="98">
        <f t="shared" si="28"/>
        <v>1027.8922500000001</v>
      </c>
      <c r="AM62" s="101">
        <f t="shared" si="29"/>
        <v>0.15</v>
      </c>
      <c r="AN62" s="98">
        <f t="shared" si="30"/>
        <v>1027.8922500000001</v>
      </c>
    </row>
    <row r="63" spans="1:40" x14ac:dyDescent="0.2">
      <c r="A63" s="92">
        <v>524</v>
      </c>
      <c r="B63" s="122">
        <v>46246</v>
      </c>
      <c r="C63" s="105">
        <v>57</v>
      </c>
      <c r="D63" s="119" t="s">
        <v>114</v>
      </c>
      <c r="E63" s="92">
        <v>524</v>
      </c>
      <c r="F63" s="102" t="s">
        <v>360</v>
      </c>
      <c r="G63" s="89" t="s">
        <v>55</v>
      </c>
      <c r="H63" s="93" t="s">
        <v>361</v>
      </c>
      <c r="I63" s="125" t="s">
        <v>360</v>
      </c>
      <c r="J63" s="89" t="s">
        <v>119</v>
      </c>
      <c r="K63" s="89" t="s">
        <v>362</v>
      </c>
      <c r="L63" s="89" t="s">
        <v>52</v>
      </c>
      <c r="M63" s="90">
        <v>0.5183333333333332</v>
      </c>
      <c r="N63" s="90">
        <v>0.25666666666666665</v>
      </c>
      <c r="O63" s="115">
        <v>1.0844291330883715</v>
      </c>
      <c r="P63" s="116">
        <v>61.333333333333336</v>
      </c>
      <c r="Q63" s="117">
        <v>27972</v>
      </c>
      <c r="R63" s="118">
        <f t="shared" si="31"/>
        <v>932.4</v>
      </c>
      <c r="S63" s="94">
        <v>10</v>
      </c>
      <c r="T63" s="94">
        <f t="shared" si="17"/>
        <v>10</v>
      </c>
      <c r="U63" s="95">
        <v>349</v>
      </c>
      <c r="V63" s="96">
        <v>1</v>
      </c>
      <c r="W63" s="96">
        <v>30</v>
      </c>
      <c r="X63" s="94">
        <v>280</v>
      </c>
      <c r="Y63" s="94">
        <f t="shared" si="18"/>
        <v>84000</v>
      </c>
      <c r="Z63" s="101">
        <v>0.5</v>
      </c>
      <c r="AA63" s="101">
        <v>0.5</v>
      </c>
      <c r="AB63" s="97">
        <f t="shared" si="15"/>
        <v>1048950</v>
      </c>
      <c r="AC63" s="98">
        <f t="shared" si="19"/>
        <v>10470</v>
      </c>
      <c r="AD63" s="98">
        <f t="shared" si="20"/>
        <v>7.6856856856856854</v>
      </c>
      <c r="AE63" s="104">
        <f t="shared" si="21"/>
        <v>0.23</v>
      </c>
      <c r="AF63" s="99">
        <f t="shared" si="22"/>
        <v>8061.9000000000005</v>
      </c>
      <c r="AG63" s="95">
        <f t="shared" si="23"/>
        <v>944.44444444444446</v>
      </c>
      <c r="AH63" s="100">
        <f t="shared" si="24"/>
        <v>0.86217751260731201</v>
      </c>
      <c r="AI63" s="100">
        <f t="shared" si="25"/>
        <v>0.56217751260731197</v>
      </c>
      <c r="AJ63" s="95">
        <f t="shared" si="26"/>
        <v>5908.1705555555563</v>
      </c>
      <c r="AK63" s="98">
        <f t="shared" si="27"/>
        <v>3852.3860555555566</v>
      </c>
      <c r="AL63" s="98">
        <f t="shared" si="28"/>
        <v>1027.8922500000001</v>
      </c>
      <c r="AM63" s="101">
        <f t="shared" si="29"/>
        <v>0.15</v>
      </c>
      <c r="AN63" s="98">
        <f t="shared" si="30"/>
        <v>1027.8922500000001</v>
      </c>
    </row>
    <row r="64" spans="1:40" x14ac:dyDescent="0.2">
      <c r="A64" s="92">
        <v>525</v>
      </c>
      <c r="B64" s="122">
        <v>46248</v>
      </c>
      <c r="C64" s="105">
        <v>58</v>
      </c>
      <c r="D64" s="119" t="s">
        <v>114</v>
      </c>
      <c r="E64" s="92">
        <v>525</v>
      </c>
      <c r="F64" s="102" t="s">
        <v>363</v>
      </c>
      <c r="G64" s="89" t="s">
        <v>55</v>
      </c>
      <c r="H64" s="93" t="s">
        <v>364</v>
      </c>
      <c r="I64" s="125" t="s">
        <v>354</v>
      </c>
      <c r="J64" s="89" t="s">
        <v>119</v>
      </c>
      <c r="K64" s="89" t="s">
        <v>365</v>
      </c>
      <c r="L64" s="89" t="s">
        <v>52</v>
      </c>
      <c r="M64" s="90">
        <v>0.43999999999999995</v>
      </c>
      <c r="N64" s="90">
        <v>0.40833333333333338</v>
      </c>
      <c r="O64" s="115">
        <v>1.0627130518434866</v>
      </c>
      <c r="P64" s="116">
        <v>51</v>
      </c>
      <c r="Q64" s="117">
        <v>28576.666666666668</v>
      </c>
      <c r="R64" s="118">
        <f t="shared" si="31"/>
        <v>952.55555555555554</v>
      </c>
      <c r="S64" s="94">
        <v>10</v>
      </c>
      <c r="T64" s="94">
        <f t="shared" si="17"/>
        <v>10</v>
      </c>
      <c r="U64" s="95">
        <v>349</v>
      </c>
      <c r="V64" s="96">
        <v>1</v>
      </c>
      <c r="W64" s="96">
        <v>30</v>
      </c>
      <c r="X64" s="94">
        <v>280</v>
      </c>
      <c r="Y64" s="94">
        <f t="shared" si="18"/>
        <v>84000</v>
      </c>
      <c r="Z64" s="101">
        <v>0.5</v>
      </c>
      <c r="AA64" s="101">
        <v>0.5</v>
      </c>
      <c r="AB64" s="97">
        <f t="shared" si="15"/>
        <v>1071625</v>
      </c>
      <c r="AC64" s="98">
        <f t="shared" si="19"/>
        <v>10470</v>
      </c>
      <c r="AD64" s="98">
        <f t="shared" si="20"/>
        <v>7.5230607721917657</v>
      </c>
      <c r="AE64" s="104">
        <f t="shared" si="21"/>
        <v>0.23</v>
      </c>
      <c r="AF64" s="99">
        <f t="shared" si="22"/>
        <v>8061.9000000000005</v>
      </c>
      <c r="AG64" s="95">
        <f t="shared" si="23"/>
        <v>944.44444444444446</v>
      </c>
      <c r="AH64" s="100">
        <f t="shared" si="24"/>
        <v>0.86217751260731201</v>
      </c>
      <c r="AI64" s="100">
        <f t="shared" si="25"/>
        <v>0.56217751260731197</v>
      </c>
      <c r="AJ64" s="95">
        <f t="shared" si="26"/>
        <v>5908.1705555555563</v>
      </c>
      <c r="AK64" s="98">
        <f t="shared" si="27"/>
        <v>3852.3860555555566</v>
      </c>
      <c r="AL64" s="98">
        <f t="shared" si="28"/>
        <v>1027.8922500000001</v>
      </c>
      <c r="AM64" s="101">
        <f t="shared" si="29"/>
        <v>0.15</v>
      </c>
      <c r="AN64" s="98">
        <f t="shared" si="30"/>
        <v>1027.8922500000001</v>
      </c>
    </row>
    <row r="65" spans="1:40" x14ac:dyDescent="0.2">
      <c r="A65" s="92" t="s">
        <v>182</v>
      </c>
      <c r="B65" s="105" t="s">
        <v>281</v>
      </c>
      <c r="C65" s="105">
        <v>59</v>
      </c>
      <c r="D65" s="120" t="s">
        <v>181</v>
      </c>
      <c r="E65" s="92" t="s">
        <v>182</v>
      </c>
      <c r="F65" s="102" t="s">
        <v>183</v>
      </c>
      <c r="G65" s="89" t="s">
        <v>47</v>
      </c>
      <c r="H65" s="93" t="s">
        <v>184</v>
      </c>
      <c r="I65" s="125" t="s">
        <v>185</v>
      </c>
      <c r="J65" s="89" t="s">
        <v>186</v>
      </c>
      <c r="K65" s="89" t="s">
        <v>187</v>
      </c>
      <c r="L65" s="89" t="s">
        <v>52</v>
      </c>
      <c r="M65" s="90">
        <v>0.56398128369443601</v>
      </c>
      <c r="N65" s="90">
        <v>0.397518055131726</v>
      </c>
      <c r="O65" s="115">
        <v>2.42</v>
      </c>
      <c r="P65" s="116">
        <v>177.42</v>
      </c>
      <c r="Q65" s="117">
        <v>61956</v>
      </c>
      <c r="R65" s="118">
        <f t="shared" si="31"/>
        <v>2065.1999999999998</v>
      </c>
      <c r="S65" s="94">
        <v>16</v>
      </c>
      <c r="T65" s="94">
        <f t="shared" si="17"/>
        <v>16</v>
      </c>
      <c r="U65" s="95">
        <v>349</v>
      </c>
      <c r="V65" s="96">
        <v>1</v>
      </c>
      <c r="W65" s="96">
        <v>30</v>
      </c>
      <c r="X65" s="94">
        <v>280</v>
      </c>
      <c r="Y65" s="94">
        <f t="shared" si="18"/>
        <v>134400</v>
      </c>
      <c r="Z65" s="101">
        <v>0.5</v>
      </c>
      <c r="AA65" s="101">
        <v>0.5</v>
      </c>
      <c r="AB65" s="97">
        <f t="shared" ref="AB65:AB91" si="32">(R65*W65)*Z65*((20/60)*45)*T65*AA65</f>
        <v>3717359.9999999995</v>
      </c>
      <c r="AC65" s="98">
        <f t="shared" si="19"/>
        <v>10470</v>
      </c>
      <c r="AD65" s="98">
        <f t="shared" si="20"/>
        <v>2.1687165084898963</v>
      </c>
      <c r="AE65" s="104">
        <f t="shared" si="21"/>
        <v>0.23</v>
      </c>
      <c r="AF65" s="99">
        <f t="shared" si="22"/>
        <v>8061.9000000000005</v>
      </c>
      <c r="AG65" s="95">
        <f t="shared" si="23"/>
        <v>944.44444444444446</v>
      </c>
      <c r="AH65" s="100">
        <f t="shared" si="24"/>
        <v>0.86217751260731201</v>
      </c>
      <c r="AI65" s="100">
        <f t="shared" si="25"/>
        <v>0.56217751260731197</v>
      </c>
      <c r="AJ65" s="95">
        <f t="shared" si="26"/>
        <v>5908.1705555555563</v>
      </c>
      <c r="AK65" s="98">
        <f t="shared" si="27"/>
        <v>3852.3860555555566</v>
      </c>
      <c r="AL65" s="98">
        <f t="shared" si="28"/>
        <v>1027.8922500000001</v>
      </c>
      <c r="AM65" s="101">
        <f t="shared" si="29"/>
        <v>0.15</v>
      </c>
      <c r="AN65" s="98">
        <f t="shared" si="30"/>
        <v>1027.8922500000001</v>
      </c>
    </row>
    <row r="66" spans="1:40" x14ac:dyDescent="0.2">
      <c r="A66" s="92" t="s">
        <v>188</v>
      </c>
      <c r="B66" s="105" t="s">
        <v>281</v>
      </c>
      <c r="C66" s="105">
        <v>60</v>
      </c>
      <c r="D66" s="120" t="s">
        <v>181</v>
      </c>
      <c r="E66" s="92" t="s">
        <v>188</v>
      </c>
      <c r="F66" s="102" t="s">
        <v>189</v>
      </c>
      <c r="G66" s="89" t="s">
        <v>47</v>
      </c>
      <c r="H66" s="93" t="s">
        <v>190</v>
      </c>
      <c r="I66" s="125" t="s">
        <v>191</v>
      </c>
      <c r="J66" s="89" t="s">
        <v>192</v>
      </c>
      <c r="K66" s="89" t="s">
        <v>193</v>
      </c>
      <c r="L66" s="89" t="s">
        <v>52</v>
      </c>
      <c r="M66" s="90">
        <v>0.61662326619546104</v>
      </c>
      <c r="N66" s="90">
        <v>0.33969283095073599</v>
      </c>
      <c r="O66" s="115">
        <v>1.91</v>
      </c>
      <c r="P66" s="116">
        <v>217.45</v>
      </c>
      <c r="Q66" s="117">
        <v>71100</v>
      </c>
      <c r="R66" s="118">
        <f t="shared" si="31"/>
        <v>2370</v>
      </c>
      <c r="S66" s="94">
        <v>16</v>
      </c>
      <c r="T66" s="94">
        <f t="shared" si="17"/>
        <v>16</v>
      </c>
      <c r="U66" s="95">
        <v>349</v>
      </c>
      <c r="V66" s="96">
        <v>1</v>
      </c>
      <c r="W66" s="96">
        <v>30</v>
      </c>
      <c r="X66" s="94">
        <v>280</v>
      </c>
      <c r="Y66" s="94">
        <f t="shared" si="18"/>
        <v>134400</v>
      </c>
      <c r="Z66" s="101">
        <v>0.5</v>
      </c>
      <c r="AA66" s="101">
        <v>0.5</v>
      </c>
      <c r="AB66" s="97">
        <f t="shared" si="32"/>
        <v>4266000</v>
      </c>
      <c r="AC66" s="98">
        <f t="shared" si="19"/>
        <v>10470</v>
      </c>
      <c r="AD66" s="98">
        <f t="shared" si="20"/>
        <v>1.889803094233474</v>
      </c>
      <c r="AE66" s="104">
        <f t="shared" si="21"/>
        <v>0.23</v>
      </c>
      <c r="AF66" s="99">
        <f t="shared" si="22"/>
        <v>8061.9000000000005</v>
      </c>
      <c r="AG66" s="95">
        <f t="shared" si="23"/>
        <v>944.44444444444446</v>
      </c>
      <c r="AH66" s="100">
        <f t="shared" si="24"/>
        <v>0.86217751260731201</v>
      </c>
      <c r="AI66" s="100">
        <f t="shared" si="25"/>
        <v>0.56217751260731197</v>
      </c>
      <c r="AJ66" s="95">
        <f t="shared" si="26"/>
        <v>5908.1705555555563</v>
      </c>
      <c r="AK66" s="98">
        <f t="shared" si="27"/>
        <v>3852.3860555555566</v>
      </c>
      <c r="AL66" s="98">
        <f t="shared" si="28"/>
        <v>1027.8922500000001</v>
      </c>
      <c r="AM66" s="101">
        <f t="shared" si="29"/>
        <v>0.15</v>
      </c>
      <c r="AN66" s="98">
        <f t="shared" si="30"/>
        <v>1027.8922500000001</v>
      </c>
    </row>
    <row r="67" spans="1:40" x14ac:dyDescent="0.2">
      <c r="A67" s="92" t="s">
        <v>194</v>
      </c>
      <c r="B67" s="105" t="s">
        <v>281</v>
      </c>
      <c r="C67" s="105">
        <v>61</v>
      </c>
      <c r="D67" s="120" t="s">
        <v>181</v>
      </c>
      <c r="E67" s="92" t="s">
        <v>194</v>
      </c>
      <c r="F67" s="102" t="s">
        <v>195</v>
      </c>
      <c r="G67" s="89" t="s">
        <v>47</v>
      </c>
      <c r="H67" s="93" t="s">
        <v>196</v>
      </c>
      <c r="I67" s="125" t="s">
        <v>191</v>
      </c>
      <c r="J67" s="89" t="s">
        <v>192</v>
      </c>
      <c r="K67" s="89" t="s">
        <v>197</v>
      </c>
      <c r="L67" s="89" t="s">
        <v>52</v>
      </c>
      <c r="M67" s="90">
        <v>0.57137297633872897</v>
      </c>
      <c r="N67" s="90">
        <v>0.39118929016189202</v>
      </c>
      <c r="O67" s="115">
        <v>2.35</v>
      </c>
      <c r="P67" s="116">
        <v>207.79</v>
      </c>
      <c r="Q67" s="117">
        <v>64840</v>
      </c>
      <c r="R67" s="118">
        <f t="shared" si="31"/>
        <v>2161.3333333333335</v>
      </c>
      <c r="S67" s="94">
        <v>16</v>
      </c>
      <c r="T67" s="94">
        <f t="shared" si="17"/>
        <v>16</v>
      </c>
      <c r="U67" s="95">
        <v>349</v>
      </c>
      <c r="V67" s="96">
        <v>1</v>
      </c>
      <c r="W67" s="96">
        <v>30</v>
      </c>
      <c r="X67" s="94">
        <v>280</v>
      </c>
      <c r="Y67" s="94">
        <f t="shared" si="18"/>
        <v>134400</v>
      </c>
      <c r="Z67" s="101">
        <v>0.5</v>
      </c>
      <c r="AA67" s="101">
        <v>0.5</v>
      </c>
      <c r="AB67" s="97">
        <f t="shared" si="32"/>
        <v>3890400.0000000005</v>
      </c>
      <c r="AC67" s="98">
        <f t="shared" si="19"/>
        <v>10470</v>
      </c>
      <c r="AD67" s="98">
        <f t="shared" si="20"/>
        <v>2.072254780999383</v>
      </c>
      <c r="AE67" s="104">
        <f t="shared" si="21"/>
        <v>0.23</v>
      </c>
      <c r="AF67" s="99">
        <f t="shared" si="22"/>
        <v>8061.9000000000005</v>
      </c>
      <c r="AG67" s="95">
        <f t="shared" si="23"/>
        <v>944.44444444444446</v>
      </c>
      <c r="AH67" s="100">
        <f t="shared" si="24"/>
        <v>0.86217751260731201</v>
      </c>
      <c r="AI67" s="100">
        <f t="shared" si="25"/>
        <v>0.56217751260731197</v>
      </c>
      <c r="AJ67" s="95">
        <f t="shared" si="26"/>
        <v>5908.1705555555563</v>
      </c>
      <c r="AK67" s="98">
        <f t="shared" si="27"/>
        <v>3852.3860555555566</v>
      </c>
      <c r="AL67" s="98">
        <f t="shared" si="28"/>
        <v>1027.8922500000001</v>
      </c>
      <c r="AM67" s="101">
        <f t="shared" si="29"/>
        <v>0.15</v>
      </c>
      <c r="AN67" s="98">
        <f t="shared" si="30"/>
        <v>1027.8922500000001</v>
      </c>
    </row>
    <row r="68" spans="1:40" x14ac:dyDescent="0.2">
      <c r="A68" s="92" t="s">
        <v>198</v>
      </c>
      <c r="B68" s="105" t="s">
        <v>281</v>
      </c>
      <c r="C68" s="105">
        <v>62</v>
      </c>
      <c r="D68" s="120" t="s">
        <v>181</v>
      </c>
      <c r="E68" s="92" t="s">
        <v>198</v>
      </c>
      <c r="F68" s="102" t="s">
        <v>199</v>
      </c>
      <c r="G68" s="89" t="s">
        <v>47</v>
      </c>
      <c r="H68" s="93" t="s">
        <v>200</v>
      </c>
      <c r="I68" s="125" t="s">
        <v>191</v>
      </c>
      <c r="J68" s="89" t="s">
        <v>192</v>
      </c>
      <c r="K68" s="89" t="s">
        <v>201</v>
      </c>
      <c r="L68" s="89" t="s">
        <v>52</v>
      </c>
      <c r="M68" s="90">
        <v>0.59799858485797996</v>
      </c>
      <c r="N68" s="90">
        <v>0.363994743758212</v>
      </c>
      <c r="O68" s="115">
        <v>1.9</v>
      </c>
      <c r="P68" s="116">
        <v>169.78</v>
      </c>
      <c r="Q68" s="117">
        <v>80314</v>
      </c>
      <c r="R68" s="118">
        <f t="shared" si="31"/>
        <v>2677.1333333333332</v>
      </c>
      <c r="S68" s="94">
        <v>16</v>
      </c>
      <c r="T68" s="94">
        <f t="shared" si="17"/>
        <v>16</v>
      </c>
      <c r="U68" s="95">
        <v>349</v>
      </c>
      <c r="V68" s="96">
        <v>1</v>
      </c>
      <c r="W68" s="96">
        <v>30</v>
      </c>
      <c r="X68" s="94">
        <v>280</v>
      </c>
      <c r="Y68" s="94">
        <f t="shared" si="18"/>
        <v>134400</v>
      </c>
      <c r="Z68" s="101">
        <v>0.5</v>
      </c>
      <c r="AA68" s="101">
        <v>0.5</v>
      </c>
      <c r="AB68" s="97">
        <f t="shared" si="32"/>
        <v>4818840</v>
      </c>
      <c r="AC68" s="98">
        <f t="shared" si="19"/>
        <v>10470</v>
      </c>
      <c r="AD68" s="98">
        <f t="shared" si="20"/>
        <v>1.6729959907363599</v>
      </c>
      <c r="AE68" s="104">
        <f t="shared" si="21"/>
        <v>0.23</v>
      </c>
      <c r="AF68" s="99">
        <f t="shared" si="22"/>
        <v>8061.9000000000005</v>
      </c>
      <c r="AG68" s="95">
        <f t="shared" si="23"/>
        <v>944.44444444444446</v>
      </c>
      <c r="AH68" s="100">
        <f t="shared" si="24"/>
        <v>0.86217751260731201</v>
      </c>
      <c r="AI68" s="100">
        <f t="shared" si="25"/>
        <v>0.56217751260731197</v>
      </c>
      <c r="AJ68" s="95">
        <f t="shared" si="26"/>
        <v>5908.1705555555563</v>
      </c>
      <c r="AK68" s="98">
        <f t="shared" si="27"/>
        <v>3852.3860555555566</v>
      </c>
      <c r="AL68" s="98">
        <f t="shared" si="28"/>
        <v>1027.8922500000001</v>
      </c>
      <c r="AM68" s="101">
        <f t="shared" si="29"/>
        <v>0.15</v>
      </c>
      <c r="AN68" s="98">
        <f t="shared" si="30"/>
        <v>1027.8922500000001</v>
      </c>
    </row>
    <row r="69" spans="1:40" x14ac:dyDescent="0.2">
      <c r="A69" s="92" t="s">
        <v>202</v>
      </c>
      <c r="B69" s="105" t="s">
        <v>281</v>
      </c>
      <c r="C69" s="105">
        <v>63</v>
      </c>
      <c r="D69" s="120" t="s">
        <v>181</v>
      </c>
      <c r="E69" s="92" t="s">
        <v>202</v>
      </c>
      <c r="F69" s="102" t="s">
        <v>203</v>
      </c>
      <c r="G69" s="89" t="s">
        <v>47</v>
      </c>
      <c r="H69" s="93" t="s">
        <v>204</v>
      </c>
      <c r="I69" s="125" t="s">
        <v>205</v>
      </c>
      <c r="J69" s="89" t="s">
        <v>206</v>
      </c>
      <c r="K69" s="89" t="s">
        <v>207</v>
      </c>
      <c r="L69" s="89" t="s">
        <v>52</v>
      </c>
      <c r="M69" s="90">
        <v>0.53618452666987004</v>
      </c>
      <c r="N69" s="90">
        <v>0.42066314271984601</v>
      </c>
      <c r="O69" s="115">
        <v>2.19</v>
      </c>
      <c r="P69" s="116">
        <v>198.05</v>
      </c>
      <c r="Q69" s="117">
        <v>70226</v>
      </c>
      <c r="R69" s="118">
        <f t="shared" si="31"/>
        <v>2340.8666666666668</v>
      </c>
      <c r="S69" s="94">
        <v>18</v>
      </c>
      <c r="T69" s="94">
        <f t="shared" si="17"/>
        <v>18</v>
      </c>
      <c r="U69" s="95">
        <v>349</v>
      </c>
      <c r="V69" s="96">
        <v>1</v>
      </c>
      <c r="W69" s="96">
        <v>30</v>
      </c>
      <c r="X69" s="94">
        <v>280</v>
      </c>
      <c r="Y69" s="94">
        <f t="shared" si="18"/>
        <v>151200</v>
      </c>
      <c r="Z69" s="101">
        <v>0.5</v>
      </c>
      <c r="AA69" s="101">
        <v>0.5</v>
      </c>
      <c r="AB69" s="97">
        <f t="shared" si="32"/>
        <v>4740255</v>
      </c>
      <c r="AC69" s="98">
        <f t="shared" si="19"/>
        <v>10470</v>
      </c>
      <c r="AD69" s="98">
        <f t="shared" si="20"/>
        <v>1.7007312897723856</v>
      </c>
      <c r="AE69" s="104">
        <f t="shared" si="21"/>
        <v>0.23</v>
      </c>
      <c r="AF69" s="99">
        <f t="shared" si="22"/>
        <v>8061.9000000000005</v>
      </c>
      <c r="AG69" s="95">
        <f t="shared" si="23"/>
        <v>944.44444444444446</v>
      </c>
      <c r="AH69" s="100">
        <f t="shared" si="24"/>
        <v>0.86217751260731201</v>
      </c>
      <c r="AI69" s="100">
        <f t="shared" si="25"/>
        <v>0.56217751260731197</v>
      </c>
      <c r="AJ69" s="95">
        <f t="shared" si="26"/>
        <v>5908.1705555555563</v>
      </c>
      <c r="AK69" s="98">
        <f t="shared" si="27"/>
        <v>3852.3860555555566</v>
      </c>
      <c r="AL69" s="98">
        <f t="shared" si="28"/>
        <v>1027.8922500000001</v>
      </c>
      <c r="AM69" s="101">
        <f t="shared" si="29"/>
        <v>0.15</v>
      </c>
      <c r="AN69" s="98">
        <f t="shared" si="30"/>
        <v>1027.8922500000001</v>
      </c>
    </row>
    <row r="70" spans="1:40" x14ac:dyDescent="0.2">
      <c r="A70" s="92" t="s">
        <v>208</v>
      </c>
      <c r="B70" s="105" t="s">
        <v>281</v>
      </c>
      <c r="C70" s="105">
        <v>64</v>
      </c>
      <c r="D70" s="120" t="s">
        <v>181</v>
      </c>
      <c r="E70" s="92" t="s">
        <v>208</v>
      </c>
      <c r="F70" s="102" t="s">
        <v>209</v>
      </c>
      <c r="G70" s="89" t="s">
        <v>47</v>
      </c>
      <c r="H70" s="93" t="s">
        <v>210</v>
      </c>
      <c r="I70" s="125" t="s">
        <v>211</v>
      </c>
      <c r="J70" s="89" t="s">
        <v>186</v>
      </c>
      <c r="K70" s="89" t="s">
        <v>212</v>
      </c>
      <c r="L70" s="89" t="s">
        <v>52</v>
      </c>
      <c r="M70" s="90">
        <v>0.56371529347924298</v>
      </c>
      <c r="N70" s="90">
        <v>0.38636158089897799</v>
      </c>
      <c r="O70" s="115">
        <v>1.73</v>
      </c>
      <c r="P70" s="116">
        <v>298.19</v>
      </c>
      <c r="Q70" s="117">
        <v>113553</v>
      </c>
      <c r="R70" s="118">
        <f t="shared" si="31"/>
        <v>3785.1</v>
      </c>
      <c r="S70" s="94">
        <v>16</v>
      </c>
      <c r="T70" s="94">
        <f t="shared" si="17"/>
        <v>16</v>
      </c>
      <c r="U70" s="95">
        <v>349</v>
      </c>
      <c r="V70" s="96">
        <v>1</v>
      </c>
      <c r="W70" s="96">
        <v>30</v>
      </c>
      <c r="X70" s="94">
        <v>280</v>
      </c>
      <c r="Y70" s="94">
        <f t="shared" si="18"/>
        <v>134400</v>
      </c>
      <c r="Z70" s="101">
        <v>0.5</v>
      </c>
      <c r="AA70" s="101">
        <v>0.5</v>
      </c>
      <c r="AB70" s="97">
        <f t="shared" si="32"/>
        <v>6813180</v>
      </c>
      <c r="AC70" s="98">
        <f t="shared" si="19"/>
        <v>10470</v>
      </c>
      <c r="AD70" s="98">
        <f t="shared" si="20"/>
        <v>1.1832800542477961</v>
      </c>
      <c r="AE70" s="104">
        <f t="shared" si="21"/>
        <v>0.23</v>
      </c>
      <c r="AF70" s="99">
        <f t="shared" si="22"/>
        <v>8061.9000000000005</v>
      </c>
      <c r="AG70" s="95">
        <f t="shared" si="23"/>
        <v>944.44444444444446</v>
      </c>
      <c r="AH70" s="100">
        <f t="shared" si="24"/>
        <v>0.86217751260731201</v>
      </c>
      <c r="AI70" s="100">
        <f t="shared" si="25"/>
        <v>0.56217751260731197</v>
      </c>
      <c r="AJ70" s="95">
        <f t="shared" si="26"/>
        <v>5908.1705555555563</v>
      </c>
      <c r="AK70" s="98">
        <f t="shared" si="27"/>
        <v>3852.3860555555566</v>
      </c>
      <c r="AL70" s="98">
        <f t="shared" si="28"/>
        <v>1027.8922500000001</v>
      </c>
      <c r="AM70" s="101">
        <f t="shared" si="29"/>
        <v>0.15</v>
      </c>
      <c r="AN70" s="98">
        <f t="shared" si="30"/>
        <v>1027.8922500000001</v>
      </c>
    </row>
    <row r="71" spans="1:40" x14ac:dyDescent="0.2">
      <c r="A71" s="92" t="s">
        <v>213</v>
      </c>
      <c r="B71" s="105" t="s">
        <v>281</v>
      </c>
      <c r="C71" s="105">
        <v>65</v>
      </c>
      <c r="D71" s="120" t="s">
        <v>181</v>
      </c>
      <c r="E71" s="92" t="s">
        <v>213</v>
      </c>
      <c r="F71" s="102" t="s">
        <v>214</v>
      </c>
      <c r="G71" s="89" t="s">
        <v>47</v>
      </c>
      <c r="H71" s="93" t="s">
        <v>215</v>
      </c>
      <c r="I71" s="125" t="s">
        <v>216</v>
      </c>
      <c r="J71" s="89" t="s">
        <v>186</v>
      </c>
      <c r="K71" s="89" t="s">
        <v>217</v>
      </c>
      <c r="L71" s="89" t="s">
        <v>52</v>
      </c>
      <c r="M71" s="90">
        <v>0.54889198822253205</v>
      </c>
      <c r="N71" s="90">
        <v>0.40988687432201998</v>
      </c>
      <c r="O71" s="115">
        <v>2.0699999999999998</v>
      </c>
      <c r="P71" s="116">
        <v>192.66</v>
      </c>
      <c r="Q71" s="117">
        <v>69059</v>
      </c>
      <c r="R71" s="118">
        <f t="shared" si="31"/>
        <v>2301.9666666666667</v>
      </c>
      <c r="S71" s="94">
        <v>16</v>
      </c>
      <c r="T71" s="94">
        <f t="shared" ref="T71:T102" si="33">IF(AND(V71&gt;0,W71&gt;0),S71,0)</f>
        <v>16</v>
      </c>
      <c r="U71" s="95">
        <v>349</v>
      </c>
      <c r="V71" s="96">
        <v>1</v>
      </c>
      <c r="W71" s="96">
        <v>30</v>
      </c>
      <c r="X71" s="94">
        <v>280</v>
      </c>
      <c r="Y71" s="94">
        <f t="shared" ref="Y71:Y102" si="34">X71*W71*T71</f>
        <v>134400</v>
      </c>
      <c r="Z71" s="101">
        <v>0.5</v>
      </c>
      <c r="AA71" s="101">
        <v>0.5</v>
      </c>
      <c r="AB71" s="97">
        <f t="shared" si="32"/>
        <v>4143540</v>
      </c>
      <c r="AC71" s="98">
        <f t="shared" ref="AC71:AC105" si="35">U71*V71*W71</f>
        <v>10470</v>
      </c>
      <c r="AD71" s="98">
        <f t="shared" ref="AD71:AD105" si="36">IFERROR((AF71/(AB71/1000))," ")</f>
        <v>1.9456551644246225</v>
      </c>
      <c r="AE71" s="104">
        <f t="shared" ref="AE71:AE105" si="37">$AE$5</f>
        <v>0.23</v>
      </c>
      <c r="AF71" s="99">
        <f t="shared" ref="AF71:AF102" si="38">AC71*(1-AE71)</f>
        <v>8061.9000000000005</v>
      </c>
      <c r="AG71" s="95">
        <f t="shared" ref="AG71:AG105" si="39">((17000/30/18)*W71)*V71</f>
        <v>944.44444444444446</v>
      </c>
      <c r="AH71" s="100">
        <f t="shared" ref="AH71:AH102" si="40">IFERROR(((AF71*0.85)-AG71)/(AF71*0.85),0)</f>
        <v>0.86217751260731201</v>
      </c>
      <c r="AI71" s="100">
        <f t="shared" ref="AI71:AI105" si="41">IFERROR(((AF71*0.85)-(AG71+AL71+AN71))/(AF71*0.85),0)</f>
        <v>0.56217751260731197</v>
      </c>
      <c r="AJ71" s="95">
        <f t="shared" ref="AJ71:AJ105" si="42">(AF71*0.85)-AG71</f>
        <v>5908.1705555555563</v>
      </c>
      <c r="AK71" s="98">
        <f t="shared" ref="AK71:AK102" si="43">(AF71*0.85)-AG71-AL71-AN71</f>
        <v>3852.3860555555566</v>
      </c>
      <c r="AL71" s="98">
        <f t="shared" ref="AL71:AL102" si="44">((AF71*0.85)*(0.3-AM71))</f>
        <v>1027.8922500000001</v>
      </c>
      <c r="AM71" s="101">
        <f t="shared" ref="AM71:AM105" si="45">$AM$5</f>
        <v>0.15</v>
      </c>
      <c r="AN71" s="98">
        <f t="shared" ref="AN71:AN102" si="46">AM71*(AF71*0.85)</f>
        <v>1027.8922500000001</v>
      </c>
    </row>
    <row r="72" spans="1:40" x14ac:dyDescent="0.2">
      <c r="A72" s="92" t="s">
        <v>218</v>
      </c>
      <c r="B72" s="105" t="s">
        <v>281</v>
      </c>
      <c r="C72" s="105">
        <v>66</v>
      </c>
      <c r="D72" s="120" t="s">
        <v>181</v>
      </c>
      <c r="E72" s="92" t="s">
        <v>218</v>
      </c>
      <c r="F72" s="102" t="s">
        <v>219</v>
      </c>
      <c r="G72" s="89" t="s">
        <v>55</v>
      </c>
      <c r="H72" s="93" t="s">
        <v>220</v>
      </c>
      <c r="I72" s="125" t="s">
        <v>221</v>
      </c>
      <c r="J72" s="89" t="s">
        <v>186</v>
      </c>
      <c r="K72" s="89" t="s">
        <v>222</v>
      </c>
      <c r="L72" s="89" t="s">
        <v>52</v>
      </c>
      <c r="M72" s="90">
        <v>0.55277126280706002</v>
      </c>
      <c r="N72" s="90">
        <v>0.40982594741389899</v>
      </c>
      <c r="O72" s="115">
        <v>2.09</v>
      </c>
      <c r="P72" s="116">
        <v>205.06</v>
      </c>
      <c r="Q72" s="117">
        <v>72186</v>
      </c>
      <c r="R72" s="118">
        <f t="shared" si="31"/>
        <v>2406.1999999999998</v>
      </c>
      <c r="S72" s="94">
        <v>16</v>
      </c>
      <c r="T72" s="94">
        <f t="shared" si="33"/>
        <v>16</v>
      </c>
      <c r="U72" s="95">
        <v>349</v>
      </c>
      <c r="V72" s="96">
        <v>1</v>
      </c>
      <c r="W72" s="96">
        <v>30</v>
      </c>
      <c r="X72" s="94">
        <v>280</v>
      </c>
      <c r="Y72" s="94">
        <f t="shared" si="34"/>
        <v>134400</v>
      </c>
      <c r="Z72" s="101">
        <v>0.5</v>
      </c>
      <c r="AA72" s="101">
        <v>0.5</v>
      </c>
      <c r="AB72" s="97">
        <f t="shared" si="32"/>
        <v>4331160</v>
      </c>
      <c r="AC72" s="98">
        <f t="shared" si="35"/>
        <v>10470</v>
      </c>
      <c r="AD72" s="98">
        <f t="shared" si="36"/>
        <v>1.8613720111933063</v>
      </c>
      <c r="AE72" s="104">
        <f t="shared" si="37"/>
        <v>0.23</v>
      </c>
      <c r="AF72" s="99">
        <f t="shared" si="38"/>
        <v>8061.9000000000005</v>
      </c>
      <c r="AG72" s="95">
        <f t="shared" si="39"/>
        <v>944.44444444444446</v>
      </c>
      <c r="AH72" s="100">
        <f t="shared" si="40"/>
        <v>0.86217751260731201</v>
      </c>
      <c r="AI72" s="100">
        <f t="shared" si="41"/>
        <v>0.56217751260731197</v>
      </c>
      <c r="AJ72" s="95">
        <f t="shared" si="42"/>
        <v>5908.1705555555563</v>
      </c>
      <c r="AK72" s="98">
        <f t="shared" si="43"/>
        <v>3852.3860555555566</v>
      </c>
      <c r="AL72" s="98">
        <f t="shared" si="44"/>
        <v>1027.8922500000001</v>
      </c>
      <c r="AM72" s="101">
        <f t="shared" si="45"/>
        <v>0.15</v>
      </c>
      <c r="AN72" s="98">
        <f t="shared" si="46"/>
        <v>1027.8922500000001</v>
      </c>
    </row>
    <row r="73" spans="1:40" x14ac:dyDescent="0.2">
      <c r="A73" s="92" t="s">
        <v>223</v>
      </c>
      <c r="B73" s="105" t="s">
        <v>281</v>
      </c>
      <c r="C73" s="105">
        <v>67</v>
      </c>
      <c r="D73" s="120" t="s">
        <v>181</v>
      </c>
      <c r="E73" s="92" t="s">
        <v>223</v>
      </c>
      <c r="F73" s="102" t="s">
        <v>224</v>
      </c>
      <c r="G73" s="89" t="s">
        <v>47</v>
      </c>
      <c r="H73" s="93" t="s">
        <v>225</v>
      </c>
      <c r="I73" s="125" t="s">
        <v>191</v>
      </c>
      <c r="J73" s="89" t="s">
        <v>192</v>
      </c>
      <c r="K73" s="89" t="s">
        <v>226</v>
      </c>
      <c r="L73" s="89" t="s">
        <v>52</v>
      </c>
      <c r="M73" s="90">
        <v>0.57287008370599701</v>
      </c>
      <c r="N73" s="90">
        <v>0.38413026029125102</v>
      </c>
      <c r="O73" s="115">
        <v>2.41</v>
      </c>
      <c r="P73" s="116">
        <v>154.49</v>
      </c>
      <c r="Q73" s="117">
        <v>55621</v>
      </c>
      <c r="R73" s="118">
        <f t="shared" si="31"/>
        <v>1854.0333333333333</v>
      </c>
      <c r="S73" s="94">
        <v>16</v>
      </c>
      <c r="T73" s="94">
        <f t="shared" si="33"/>
        <v>16</v>
      </c>
      <c r="U73" s="95">
        <v>349</v>
      </c>
      <c r="V73" s="96">
        <v>1</v>
      </c>
      <c r="W73" s="96">
        <v>30</v>
      </c>
      <c r="X73" s="94">
        <v>280</v>
      </c>
      <c r="Y73" s="94">
        <f t="shared" si="34"/>
        <v>134400</v>
      </c>
      <c r="Z73" s="101">
        <v>0.5</v>
      </c>
      <c r="AA73" s="101">
        <v>0.5</v>
      </c>
      <c r="AB73" s="97">
        <f t="shared" si="32"/>
        <v>3337260</v>
      </c>
      <c r="AC73" s="98">
        <f t="shared" si="35"/>
        <v>10470</v>
      </c>
      <c r="AD73" s="98">
        <f t="shared" si="36"/>
        <v>2.4157242768019271</v>
      </c>
      <c r="AE73" s="104">
        <f t="shared" si="37"/>
        <v>0.23</v>
      </c>
      <c r="AF73" s="99">
        <f t="shared" si="38"/>
        <v>8061.9000000000005</v>
      </c>
      <c r="AG73" s="95">
        <f t="shared" si="39"/>
        <v>944.44444444444446</v>
      </c>
      <c r="AH73" s="100">
        <f t="shared" si="40"/>
        <v>0.86217751260731201</v>
      </c>
      <c r="AI73" s="100">
        <f t="shared" si="41"/>
        <v>0.56217751260731197</v>
      </c>
      <c r="AJ73" s="95">
        <f t="shared" si="42"/>
        <v>5908.1705555555563</v>
      </c>
      <c r="AK73" s="98">
        <f t="shared" si="43"/>
        <v>3852.3860555555566</v>
      </c>
      <c r="AL73" s="98">
        <f t="shared" si="44"/>
        <v>1027.8922500000001</v>
      </c>
      <c r="AM73" s="101">
        <f t="shared" si="45"/>
        <v>0.15</v>
      </c>
      <c r="AN73" s="98">
        <f t="shared" si="46"/>
        <v>1027.8922500000001</v>
      </c>
    </row>
    <row r="74" spans="1:40" x14ac:dyDescent="0.2">
      <c r="A74" s="92" t="s">
        <v>227</v>
      </c>
      <c r="B74" s="105" t="s">
        <v>281</v>
      </c>
      <c r="C74" s="105">
        <v>68</v>
      </c>
      <c r="D74" s="120" t="s">
        <v>181</v>
      </c>
      <c r="E74" s="92" t="s">
        <v>227</v>
      </c>
      <c r="F74" s="102" t="s">
        <v>228</v>
      </c>
      <c r="G74" s="89" t="s">
        <v>47</v>
      </c>
      <c r="H74" s="93" t="s">
        <v>229</v>
      </c>
      <c r="I74" s="125" t="s">
        <v>191</v>
      </c>
      <c r="J74" s="89" t="s">
        <v>192</v>
      </c>
      <c r="K74" s="89" t="s">
        <v>230</v>
      </c>
      <c r="L74" s="89" t="s">
        <v>52</v>
      </c>
      <c r="M74" s="90">
        <v>0.53076352853965902</v>
      </c>
      <c r="N74" s="90">
        <v>0.42846553002223797</v>
      </c>
      <c r="O74" s="115">
        <v>2.02</v>
      </c>
      <c r="P74" s="116">
        <v>242.34</v>
      </c>
      <c r="Q74" s="117">
        <v>83765</v>
      </c>
      <c r="R74" s="118">
        <f t="shared" si="31"/>
        <v>2792.1666666666665</v>
      </c>
      <c r="S74" s="94">
        <v>16</v>
      </c>
      <c r="T74" s="94">
        <f t="shared" si="33"/>
        <v>16</v>
      </c>
      <c r="U74" s="95">
        <v>349</v>
      </c>
      <c r="V74" s="96">
        <v>1</v>
      </c>
      <c r="W74" s="96">
        <v>30</v>
      </c>
      <c r="X74" s="94">
        <v>280</v>
      </c>
      <c r="Y74" s="94">
        <f t="shared" si="34"/>
        <v>134400</v>
      </c>
      <c r="Z74" s="101">
        <v>0.5</v>
      </c>
      <c r="AA74" s="101">
        <v>0.5</v>
      </c>
      <c r="AB74" s="97">
        <f t="shared" si="32"/>
        <v>5025900</v>
      </c>
      <c r="AC74" s="98">
        <f t="shared" si="35"/>
        <v>10470</v>
      </c>
      <c r="AD74" s="98">
        <f t="shared" si="36"/>
        <v>1.6040709126723574</v>
      </c>
      <c r="AE74" s="104">
        <f t="shared" si="37"/>
        <v>0.23</v>
      </c>
      <c r="AF74" s="99">
        <f t="shared" si="38"/>
        <v>8061.9000000000005</v>
      </c>
      <c r="AG74" s="95">
        <f t="shared" si="39"/>
        <v>944.44444444444446</v>
      </c>
      <c r="AH74" s="100">
        <f t="shared" si="40"/>
        <v>0.86217751260731201</v>
      </c>
      <c r="AI74" s="100">
        <f t="shared" si="41"/>
        <v>0.56217751260731197</v>
      </c>
      <c r="AJ74" s="95">
        <f t="shared" si="42"/>
        <v>5908.1705555555563</v>
      </c>
      <c r="AK74" s="98">
        <f t="shared" si="43"/>
        <v>3852.3860555555566</v>
      </c>
      <c r="AL74" s="98">
        <f t="shared" si="44"/>
        <v>1027.8922500000001</v>
      </c>
      <c r="AM74" s="101">
        <f t="shared" si="45"/>
        <v>0.15</v>
      </c>
      <c r="AN74" s="98">
        <f t="shared" si="46"/>
        <v>1027.8922500000001</v>
      </c>
    </row>
    <row r="75" spans="1:40" x14ac:dyDescent="0.2">
      <c r="A75" s="92" t="s">
        <v>231</v>
      </c>
      <c r="B75" s="105" t="s">
        <v>281</v>
      </c>
      <c r="C75" s="105">
        <v>69</v>
      </c>
      <c r="D75" s="120" t="s">
        <v>181</v>
      </c>
      <c r="E75" s="92" t="s">
        <v>231</v>
      </c>
      <c r="F75" s="102" t="s">
        <v>232</v>
      </c>
      <c r="G75" s="89" t="s">
        <v>47</v>
      </c>
      <c r="H75" s="93" t="s">
        <v>233</v>
      </c>
      <c r="I75" s="125" t="s">
        <v>234</v>
      </c>
      <c r="J75" s="89" t="s">
        <v>186</v>
      </c>
      <c r="K75" s="89" t="s">
        <v>235</v>
      </c>
      <c r="L75" s="89" t="s">
        <v>52</v>
      </c>
      <c r="M75" s="90">
        <v>0.54596711041503498</v>
      </c>
      <c r="N75" s="90">
        <v>0.40751761942051601</v>
      </c>
      <c r="O75" s="115">
        <v>2.08</v>
      </c>
      <c r="P75" s="116">
        <v>237.04</v>
      </c>
      <c r="Q75" s="117">
        <v>63439</v>
      </c>
      <c r="R75" s="118">
        <f t="shared" si="31"/>
        <v>2114.6333333333332</v>
      </c>
      <c r="S75" s="94">
        <v>16</v>
      </c>
      <c r="T75" s="94">
        <f t="shared" si="33"/>
        <v>16</v>
      </c>
      <c r="U75" s="95">
        <v>349</v>
      </c>
      <c r="V75" s="96">
        <v>1</v>
      </c>
      <c r="W75" s="96">
        <v>30</v>
      </c>
      <c r="X75" s="94">
        <v>280</v>
      </c>
      <c r="Y75" s="94">
        <f t="shared" si="34"/>
        <v>134400</v>
      </c>
      <c r="Z75" s="101">
        <v>0.5</v>
      </c>
      <c r="AA75" s="101">
        <v>0.5</v>
      </c>
      <c r="AB75" s="97">
        <f t="shared" si="32"/>
        <v>3806340</v>
      </c>
      <c r="AC75" s="98">
        <f t="shared" si="35"/>
        <v>10470</v>
      </c>
      <c r="AD75" s="98">
        <f t="shared" si="36"/>
        <v>2.1180188842825394</v>
      </c>
      <c r="AE75" s="104">
        <f t="shared" si="37"/>
        <v>0.23</v>
      </c>
      <c r="AF75" s="99">
        <f t="shared" si="38"/>
        <v>8061.9000000000005</v>
      </c>
      <c r="AG75" s="95">
        <f t="shared" si="39"/>
        <v>944.44444444444446</v>
      </c>
      <c r="AH75" s="100">
        <f t="shared" si="40"/>
        <v>0.86217751260731201</v>
      </c>
      <c r="AI75" s="100">
        <f t="shared" si="41"/>
        <v>0.56217751260731197</v>
      </c>
      <c r="AJ75" s="95">
        <f t="shared" si="42"/>
        <v>5908.1705555555563</v>
      </c>
      <c r="AK75" s="98">
        <f t="shared" si="43"/>
        <v>3852.3860555555566</v>
      </c>
      <c r="AL75" s="98">
        <f t="shared" si="44"/>
        <v>1027.8922500000001</v>
      </c>
      <c r="AM75" s="101">
        <f t="shared" si="45"/>
        <v>0.15</v>
      </c>
      <c r="AN75" s="98">
        <f t="shared" si="46"/>
        <v>1027.8922500000001</v>
      </c>
    </row>
    <row r="76" spans="1:40" x14ac:dyDescent="0.2">
      <c r="A76" s="92" t="s">
        <v>236</v>
      </c>
      <c r="B76" s="105" t="s">
        <v>281</v>
      </c>
      <c r="C76" s="105">
        <v>70</v>
      </c>
      <c r="D76" s="120" t="s">
        <v>181</v>
      </c>
      <c r="E76" s="92" t="s">
        <v>236</v>
      </c>
      <c r="F76" s="102" t="s">
        <v>237</v>
      </c>
      <c r="G76" s="89" t="s">
        <v>47</v>
      </c>
      <c r="H76" s="93" t="s">
        <v>238</v>
      </c>
      <c r="I76" s="125" t="s">
        <v>185</v>
      </c>
      <c r="J76" s="89" t="s">
        <v>186</v>
      </c>
      <c r="K76" s="89" t="s">
        <v>239</v>
      </c>
      <c r="L76" s="89" t="s">
        <v>52</v>
      </c>
      <c r="M76" s="90">
        <v>0.64453486221564604</v>
      </c>
      <c r="N76" s="90">
        <v>0.319215831329757</v>
      </c>
      <c r="O76" s="115">
        <v>2</v>
      </c>
      <c r="P76" s="116">
        <v>101.45</v>
      </c>
      <c r="Q76" s="117">
        <v>61783</v>
      </c>
      <c r="R76" s="118">
        <f t="shared" si="31"/>
        <v>2059.4333333333334</v>
      </c>
      <c r="S76" s="94">
        <v>16</v>
      </c>
      <c r="T76" s="94">
        <f t="shared" si="33"/>
        <v>16</v>
      </c>
      <c r="U76" s="95">
        <v>349</v>
      </c>
      <c r="V76" s="96">
        <v>1</v>
      </c>
      <c r="W76" s="96">
        <v>30</v>
      </c>
      <c r="X76" s="94">
        <v>280</v>
      </c>
      <c r="Y76" s="94">
        <f t="shared" si="34"/>
        <v>134400</v>
      </c>
      <c r="Z76" s="101">
        <v>0.5</v>
      </c>
      <c r="AA76" s="101">
        <v>0.5</v>
      </c>
      <c r="AB76" s="97">
        <f t="shared" si="32"/>
        <v>3706980</v>
      </c>
      <c r="AC76" s="98">
        <f t="shared" si="35"/>
        <v>10470</v>
      </c>
      <c r="AD76" s="98">
        <f t="shared" si="36"/>
        <v>2.1747891814900542</v>
      </c>
      <c r="AE76" s="104">
        <f t="shared" si="37"/>
        <v>0.23</v>
      </c>
      <c r="AF76" s="99">
        <f t="shared" si="38"/>
        <v>8061.9000000000005</v>
      </c>
      <c r="AG76" s="95">
        <f t="shared" si="39"/>
        <v>944.44444444444446</v>
      </c>
      <c r="AH76" s="100">
        <f t="shared" si="40"/>
        <v>0.86217751260731201</v>
      </c>
      <c r="AI76" s="100">
        <f t="shared" si="41"/>
        <v>0.56217751260731197</v>
      </c>
      <c r="AJ76" s="95">
        <f t="shared" si="42"/>
        <v>5908.1705555555563</v>
      </c>
      <c r="AK76" s="98">
        <f t="shared" si="43"/>
        <v>3852.3860555555566</v>
      </c>
      <c r="AL76" s="98">
        <f t="shared" si="44"/>
        <v>1027.8922500000001</v>
      </c>
      <c r="AM76" s="101">
        <f t="shared" si="45"/>
        <v>0.15</v>
      </c>
      <c r="AN76" s="98">
        <f t="shared" si="46"/>
        <v>1027.8922500000001</v>
      </c>
    </row>
    <row r="77" spans="1:40" x14ac:dyDescent="0.2">
      <c r="A77" s="92" t="s">
        <v>240</v>
      </c>
      <c r="B77" s="105" t="s">
        <v>366</v>
      </c>
      <c r="C77" s="105">
        <v>71</v>
      </c>
      <c r="D77" s="120" t="s">
        <v>181</v>
      </c>
      <c r="E77" s="92" t="s">
        <v>240</v>
      </c>
      <c r="F77" s="102" t="s">
        <v>241</v>
      </c>
      <c r="G77" s="89" t="s">
        <v>55</v>
      </c>
      <c r="H77" s="93" t="s">
        <v>242</v>
      </c>
      <c r="I77" s="125" t="s">
        <v>185</v>
      </c>
      <c r="J77" s="89" t="s">
        <v>186</v>
      </c>
      <c r="K77" s="89" t="s">
        <v>243</v>
      </c>
      <c r="L77" s="89" t="s">
        <v>121</v>
      </c>
      <c r="M77" s="90">
        <v>0.51797256818540105</v>
      </c>
      <c r="N77" s="90">
        <v>0.44387513794734301</v>
      </c>
      <c r="O77" s="115">
        <v>1.89</v>
      </c>
      <c r="P77" s="116">
        <v>282.45</v>
      </c>
      <c r="Q77" s="117">
        <v>37799</v>
      </c>
      <c r="R77" s="118">
        <f t="shared" si="31"/>
        <v>1259.9666666666667</v>
      </c>
      <c r="S77" s="94">
        <v>16</v>
      </c>
      <c r="T77" s="94">
        <f t="shared" si="33"/>
        <v>16</v>
      </c>
      <c r="U77" s="95">
        <v>349</v>
      </c>
      <c r="V77" s="96">
        <v>1</v>
      </c>
      <c r="W77" s="96">
        <v>30</v>
      </c>
      <c r="X77" s="94">
        <v>280</v>
      </c>
      <c r="Y77" s="94">
        <f t="shared" si="34"/>
        <v>134400</v>
      </c>
      <c r="Z77" s="101">
        <v>0.5</v>
      </c>
      <c r="AA77" s="101">
        <v>0.5</v>
      </c>
      <c r="AB77" s="97">
        <f t="shared" si="32"/>
        <v>2267940</v>
      </c>
      <c r="AC77" s="98">
        <f t="shared" si="35"/>
        <v>10470</v>
      </c>
      <c r="AD77" s="98">
        <f t="shared" si="36"/>
        <v>3.5547236699383582</v>
      </c>
      <c r="AE77" s="104">
        <f t="shared" si="37"/>
        <v>0.23</v>
      </c>
      <c r="AF77" s="99">
        <f t="shared" si="38"/>
        <v>8061.9000000000005</v>
      </c>
      <c r="AG77" s="95">
        <f t="shared" si="39"/>
        <v>944.44444444444446</v>
      </c>
      <c r="AH77" s="100">
        <f t="shared" si="40"/>
        <v>0.86217751260731201</v>
      </c>
      <c r="AI77" s="100">
        <f t="shared" si="41"/>
        <v>0.56217751260731197</v>
      </c>
      <c r="AJ77" s="95">
        <f t="shared" si="42"/>
        <v>5908.1705555555563</v>
      </c>
      <c r="AK77" s="98">
        <f t="shared" si="43"/>
        <v>3852.3860555555566</v>
      </c>
      <c r="AL77" s="98">
        <f t="shared" si="44"/>
        <v>1027.8922500000001</v>
      </c>
      <c r="AM77" s="101">
        <f t="shared" si="45"/>
        <v>0.15</v>
      </c>
      <c r="AN77" s="98">
        <f t="shared" si="46"/>
        <v>1027.8922500000001</v>
      </c>
    </row>
    <row r="78" spans="1:40" x14ac:dyDescent="0.2">
      <c r="A78" s="92" t="s">
        <v>244</v>
      </c>
      <c r="B78" s="105" t="s">
        <v>281</v>
      </c>
      <c r="C78" s="105">
        <v>72</v>
      </c>
      <c r="D78" s="120" t="s">
        <v>181</v>
      </c>
      <c r="E78" s="92" t="s">
        <v>244</v>
      </c>
      <c r="F78" s="102" t="s">
        <v>245</v>
      </c>
      <c r="G78" s="89" t="s">
        <v>55</v>
      </c>
      <c r="H78" s="93" t="s">
        <v>246</v>
      </c>
      <c r="I78" s="125" t="s">
        <v>191</v>
      </c>
      <c r="J78" s="89" t="s">
        <v>192</v>
      </c>
      <c r="K78" s="89" t="s">
        <v>247</v>
      </c>
      <c r="L78" s="89" t="s">
        <v>52</v>
      </c>
      <c r="M78" s="90">
        <v>0.53813585322451896</v>
      </c>
      <c r="N78" s="90">
        <v>0.41952506596306</v>
      </c>
      <c r="O78" s="115">
        <v>1.71</v>
      </c>
      <c r="P78" s="116">
        <v>410.84</v>
      </c>
      <c r="Q78" s="117">
        <v>70262</v>
      </c>
      <c r="R78" s="118">
        <f t="shared" ref="R78:R109" si="47">Q78/30</f>
        <v>2342.0666666666666</v>
      </c>
      <c r="S78" s="94">
        <v>16</v>
      </c>
      <c r="T78" s="94">
        <f t="shared" si="33"/>
        <v>16</v>
      </c>
      <c r="U78" s="95">
        <v>349</v>
      </c>
      <c r="V78" s="96">
        <v>1</v>
      </c>
      <c r="W78" s="96">
        <v>30</v>
      </c>
      <c r="X78" s="94">
        <v>280</v>
      </c>
      <c r="Y78" s="94">
        <f t="shared" si="34"/>
        <v>134400</v>
      </c>
      <c r="Z78" s="101">
        <v>0.5</v>
      </c>
      <c r="AA78" s="101">
        <v>0.5</v>
      </c>
      <c r="AB78" s="97">
        <f t="shared" si="32"/>
        <v>4215720</v>
      </c>
      <c r="AC78" s="98">
        <f t="shared" si="35"/>
        <v>10470</v>
      </c>
      <c r="AD78" s="98">
        <f t="shared" si="36"/>
        <v>1.9123423756795992</v>
      </c>
      <c r="AE78" s="104">
        <f t="shared" si="37"/>
        <v>0.23</v>
      </c>
      <c r="AF78" s="99">
        <f t="shared" si="38"/>
        <v>8061.9000000000005</v>
      </c>
      <c r="AG78" s="95">
        <f t="shared" si="39"/>
        <v>944.44444444444446</v>
      </c>
      <c r="AH78" s="100">
        <f t="shared" si="40"/>
        <v>0.86217751260731201</v>
      </c>
      <c r="AI78" s="100">
        <f t="shared" si="41"/>
        <v>0.56217751260731197</v>
      </c>
      <c r="AJ78" s="95">
        <f t="shared" si="42"/>
        <v>5908.1705555555563</v>
      </c>
      <c r="AK78" s="98">
        <f t="shared" si="43"/>
        <v>3852.3860555555566</v>
      </c>
      <c r="AL78" s="98">
        <f t="shared" si="44"/>
        <v>1027.8922500000001</v>
      </c>
      <c r="AM78" s="101">
        <f t="shared" si="45"/>
        <v>0.15</v>
      </c>
      <c r="AN78" s="98">
        <f t="shared" si="46"/>
        <v>1027.8922500000001</v>
      </c>
    </row>
    <row r="79" spans="1:40" x14ac:dyDescent="0.2">
      <c r="A79" s="92" t="s">
        <v>248</v>
      </c>
      <c r="B79" s="105" t="s">
        <v>281</v>
      </c>
      <c r="C79" s="105">
        <v>73</v>
      </c>
      <c r="D79" s="120" t="s">
        <v>181</v>
      </c>
      <c r="E79" s="92" t="s">
        <v>248</v>
      </c>
      <c r="F79" s="102" t="s">
        <v>249</v>
      </c>
      <c r="G79" s="89" t="s">
        <v>55</v>
      </c>
      <c r="H79" s="93" t="s">
        <v>250</v>
      </c>
      <c r="I79" s="125" t="s">
        <v>205</v>
      </c>
      <c r="J79" s="89" t="s">
        <v>206</v>
      </c>
      <c r="K79" s="103" t="s">
        <v>251</v>
      </c>
      <c r="L79" s="89" t="s">
        <v>52</v>
      </c>
      <c r="M79" s="90">
        <v>0.60573030208657697</v>
      </c>
      <c r="N79" s="90">
        <v>0.34848956711304802</v>
      </c>
      <c r="O79" s="115">
        <v>1.78</v>
      </c>
      <c r="P79" s="116">
        <v>140.30000000000001</v>
      </c>
      <c r="Q79" s="117">
        <v>70712</v>
      </c>
      <c r="R79" s="118">
        <f t="shared" si="47"/>
        <v>2357.0666666666666</v>
      </c>
      <c r="S79" s="94">
        <v>15</v>
      </c>
      <c r="T79" s="94">
        <f t="shared" si="33"/>
        <v>15</v>
      </c>
      <c r="U79" s="95">
        <v>349</v>
      </c>
      <c r="V79" s="96">
        <v>1</v>
      </c>
      <c r="W79" s="96">
        <v>30</v>
      </c>
      <c r="X79" s="94">
        <v>280</v>
      </c>
      <c r="Y79" s="94">
        <f t="shared" si="34"/>
        <v>126000</v>
      </c>
      <c r="Z79" s="101">
        <v>0.5</v>
      </c>
      <c r="AA79" s="101">
        <v>0.5</v>
      </c>
      <c r="AB79" s="97">
        <f t="shared" si="32"/>
        <v>3977550</v>
      </c>
      <c r="AC79" s="98">
        <f t="shared" si="35"/>
        <v>10470</v>
      </c>
      <c r="AD79" s="98">
        <f t="shared" si="36"/>
        <v>2.0268506995512312</v>
      </c>
      <c r="AE79" s="104">
        <f t="shared" si="37"/>
        <v>0.23</v>
      </c>
      <c r="AF79" s="99">
        <f t="shared" si="38"/>
        <v>8061.9000000000005</v>
      </c>
      <c r="AG79" s="95">
        <f t="shared" si="39"/>
        <v>944.44444444444446</v>
      </c>
      <c r="AH79" s="100">
        <f t="shared" si="40"/>
        <v>0.86217751260731201</v>
      </c>
      <c r="AI79" s="100">
        <f t="shared" si="41"/>
        <v>0.56217751260731197</v>
      </c>
      <c r="AJ79" s="95">
        <f t="shared" si="42"/>
        <v>5908.1705555555563</v>
      </c>
      <c r="AK79" s="98">
        <f t="shared" si="43"/>
        <v>3852.3860555555566</v>
      </c>
      <c r="AL79" s="98">
        <f t="shared" si="44"/>
        <v>1027.8922500000001</v>
      </c>
      <c r="AM79" s="101">
        <f t="shared" si="45"/>
        <v>0.15</v>
      </c>
      <c r="AN79" s="98">
        <f t="shared" si="46"/>
        <v>1027.8922500000001</v>
      </c>
    </row>
    <row r="80" spans="1:40" x14ac:dyDescent="0.2">
      <c r="A80" s="92">
        <v>18</v>
      </c>
      <c r="B80" s="122">
        <v>46251</v>
      </c>
      <c r="C80" s="105">
        <v>74</v>
      </c>
      <c r="D80" s="120" t="s">
        <v>181</v>
      </c>
      <c r="E80" s="92">
        <v>18</v>
      </c>
      <c r="F80" s="102" t="s">
        <v>367</v>
      </c>
      <c r="G80" s="89" t="s">
        <v>55</v>
      </c>
      <c r="H80" s="93" t="s">
        <v>368</v>
      </c>
      <c r="I80" s="125" t="s">
        <v>367</v>
      </c>
      <c r="J80" s="89" t="s">
        <v>186</v>
      </c>
      <c r="K80" s="103" t="s">
        <v>369</v>
      </c>
      <c r="L80" s="89" t="s">
        <v>52</v>
      </c>
      <c r="M80" s="90">
        <v>0.66666666666666663</v>
      </c>
      <c r="N80" s="90">
        <v>0.22166666666666668</v>
      </c>
      <c r="O80" s="115">
        <v>1.1633257174923841</v>
      </c>
      <c r="P80" s="116">
        <v>99.333333333333329</v>
      </c>
      <c r="Q80" s="117">
        <v>21159</v>
      </c>
      <c r="R80" s="118">
        <f t="shared" si="47"/>
        <v>705.3</v>
      </c>
      <c r="S80" s="94">
        <v>16</v>
      </c>
      <c r="T80" s="94">
        <f t="shared" si="33"/>
        <v>16</v>
      </c>
      <c r="U80" s="95">
        <v>349</v>
      </c>
      <c r="V80" s="96">
        <v>1</v>
      </c>
      <c r="W80" s="96">
        <v>30</v>
      </c>
      <c r="X80" s="94">
        <v>280</v>
      </c>
      <c r="Y80" s="94">
        <f t="shared" si="34"/>
        <v>134400</v>
      </c>
      <c r="Z80" s="101">
        <v>0.5</v>
      </c>
      <c r="AA80" s="101">
        <v>0.5</v>
      </c>
      <c r="AB80" s="97">
        <f t="shared" si="32"/>
        <v>1269540</v>
      </c>
      <c r="AC80" s="98">
        <f t="shared" si="35"/>
        <v>10470</v>
      </c>
      <c r="AD80" s="98">
        <f t="shared" si="36"/>
        <v>6.3502528474880675</v>
      </c>
      <c r="AE80" s="104">
        <f t="shared" si="37"/>
        <v>0.23</v>
      </c>
      <c r="AF80" s="99">
        <f t="shared" si="38"/>
        <v>8061.9000000000005</v>
      </c>
      <c r="AG80" s="95">
        <f t="shared" si="39"/>
        <v>944.44444444444446</v>
      </c>
      <c r="AH80" s="100">
        <f t="shared" si="40"/>
        <v>0.86217751260731201</v>
      </c>
      <c r="AI80" s="100">
        <f t="shared" si="41"/>
        <v>0.56217751260731197</v>
      </c>
      <c r="AJ80" s="95">
        <f t="shared" si="42"/>
        <v>5908.1705555555563</v>
      </c>
      <c r="AK80" s="98">
        <f t="shared" si="43"/>
        <v>3852.3860555555566</v>
      </c>
      <c r="AL80" s="98">
        <f t="shared" si="44"/>
        <v>1027.8922500000001</v>
      </c>
      <c r="AM80" s="101">
        <f t="shared" si="45"/>
        <v>0.15</v>
      </c>
      <c r="AN80" s="98">
        <f t="shared" si="46"/>
        <v>1027.8922500000001</v>
      </c>
    </row>
    <row r="81" spans="1:40" x14ac:dyDescent="0.2">
      <c r="A81" s="92">
        <v>38</v>
      </c>
      <c r="B81" s="122">
        <v>46253</v>
      </c>
      <c r="C81" s="105">
        <v>75</v>
      </c>
      <c r="D81" s="120" t="s">
        <v>181</v>
      </c>
      <c r="E81" s="92">
        <v>38</v>
      </c>
      <c r="F81" s="102" t="s">
        <v>370</v>
      </c>
      <c r="G81" s="89" t="s">
        <v>55</v>
      </c>
      <c r="H81" s="93" t="s">
        <v>371</v>
      </c>
      <c r="I81" s="125" t="s">
        <v>234</v>
      </c>
      <c r="J81" s="89" t="s">
        <v>186</v>
      </c>
      <c r="K81" s="103" t="s">
        <v>372</v>
      </c>
      <c r="L81" s="89" t="s">
        <v>52</v>
      </c>
      <c r="M81" s="90">
        <v>0.71666666666666667</v>
      </c>
      <c r="N81" s="90">
        <v>0.16166666666666665</v>
      </c>
      <c r="O81" s="115">
        <v>1.0674408450531938</v>
      </c>
      <c r="P81" s="116">
        <v>72</v>
      </c>
      <c r="Q81" s="117">
        <v>23724.333333333332</v>
      </c>
      <c r="R81" s="118">
        <f t="shared" si="47"/>
        <v>790.81111111111102</v>
      </c>
      <c r="S81" s="94">
        <v>16</v>
      </c>
      <c r="T81" s="94">
        <f t="shared" si="33"/>
        <v>16</v>
      </c>
      <c r="U81" s="95">
        <v>349</v>
      </c>
      <c r="V81" s="96">
        <v>1</v>
      </c>
      <c r="W81" s="96">
        <v>30</v>
      </c>
      <c r="X81" s="94">
        <v>280</v>
      </c>
      <c r="Y81" s="94">
        <f t="shared" si="34"/>
        <v>134400</v>
      </c>
      <c r="Z81" s="101">
        <v>0.5</v>
      </c>
      <c r="AA81" s="101">
        <v>0.5</v>
      </c>
      <c r="AB81" s="97">
        <f t="shared" si="32"/>
        <v>1423460</v>
      </c>
      <c r="AC81" s="98">
        <f t="shared" si="35"/>
        <v>10470</v>
      </c>
      <c r="AD81" s="98">
        <f t="shared" si="36"/>
        <v>5.6635943405504898</v>
      </c>
      <c r="AE81" s="104">
        <f t="shared" si="37"/>
        <v>0.23</v>
      </c>
      <c r="AF81" s="99">
        <f t="shared" si="38"/>
        <v>8061.9000000000005</v>
      </c>
      <c r="AG81" s="95">
        <f t="shared" si="39"/>
        <v>944.44444444444446</v>
      </c>
      <c r="AH81" s="100">
        <f t="shared" si="40"/>
        <v>0.86217751260731201</v>
      </c>
      <c r="AI81" s="100">
        <f t="shared" si="41"/>
        <v>0.56217751260731197</v>
      </c>
      <c r="AJ81" s="95">
        <f t="shared" si="42"/>
        <v>5908.1705555555563</v>
      </c>
      <c r="AK81" s="98">
        <f t="shared" si="43"/>
        <v>3852.3860555555566</v>
      </c>
      <c r="AL81" s="98">
        <f t="shared" si="44"/>
        <v>1027.8922500000001</v>
      </c>
      <c r="AM81" s="101">
        <f t="shared" si="45"/>
        <v>0.15</v>
      </c>
      <c r="AN81" s="98">
        <f t="shared" si="46"/>
        <v>1027.8922500000001</v>
      </c>
    </row>
    <row r="82" spans="1:40" x14ac:dyDescent="0.2">
      <c r="A82" s="92">
        <v>80</v>
      </c>
      <c r="B82" s="122">
        <v>46251</v>
      </c>
      <c r="C82" s="105">
        <v>76</v>
      </c>
      <c r="D82" s="120" t="s">
        <v>181</v>
      </c>
      <c r="E82" s="92">
        <v>80</v>
      </c>
      <c r="F82" s="102" t="s">
        <v>373</v>
      </c>
      <c r="G82" s="89" t="s">
        <v>55</v>
      </c>
      <c r="H82" s="93" t="s">
        <v>374</v>
      </c>
      <c r="I82" s="125" t="s">
        <v>375</v>
      </c>
      <c r="J82" s="89" t="s">
        <v>206</v>
      </c>
      <c r="K82" s="103" t="s">
        <v>376</v>
      </c>
      <c r="L82" s="89" t="s">
        <v>52</v>
      </c>
      <c r="M82" s="90">
        <v>0.375</v>
      </c>
      <c r="N82" s="90">
        <v>0.4916666666666667</v>
      </c>
      <c r="O82" s="115">
        <v>1.1148017259579124</v>
      </c>
      <c r="P82" s="116">
        <v>83.666666669999998</v>
      </c>
      <c r="Q82" s="117">
        <v>20713</v>
      </c>
      <c r="R82" s="118">
        <f t="shared" si="47"/>
        <v>690.43333333333328</v>
      </c>
      <c r="S82" s="94">
        <v>11</v>
      </c>
      <c r="T82" s="94">
        <f t="shared" si="33"/>
        <v>11</v>
      </c>
      <c r="U82" s="95">
        <v>349</v>
      </c>
      <c r="V82" s="96">
        <v>1</v>
      </c>
      <c r="W82" s="96">
        <v>30</v>
      </c>
      <c r="X82" s="94">
        <v>280</v>
      </c>
      <c r="Y82" s="94">
        <f t="shared" si="34"/>
        <v>92400</v>
      </c>
      <c r="Z82" s="101">
        <v>0.5</v>
      </c>
      <c r="AA82" s="101">
        <v>0.5</v>
      </c>
      <c r="AB82" s="97">
        <f t="shared" si="32"/>
        <v>854411.25</v>
      </c>
      <c r="AC82" s="98">
        <f t="shared" si="35"/>
        <v>10470</v>
      </c>
      <c r="AD82" s="98">
        <f t="shared" si="36"/>
        <v>9.4356201419398449</v>
      </c>
      <c r="AE82" s="104">
        <f t="shared" si="37"/>
        <v>0.23</v>
      </c>
      <c r="AF82" s="99">
        <f t="shared" si="38"/>
        <v>8061.9000000000005</v>
      </c>
      <c r="AG82" s="95">
        <f t="shared" si="39"/>
        <v>944.44444444444446</v>
      </c>
      <c r="AH82" s="100">
        <f t="shared" si="40"/>
        <v>0.86217751260731201</v>
      </c>
      <c r="AI82" s="100">
        <f t="shared" si="41"/>
        <v>0.56217751260731197</v>
      </c>
      <c r="AJ82" s="95">
        <f t="shared" si="42"/>
        <v>5908.1705555555563</v>
      </c>
      <c r="AK82" s="98">
        <f t="shared" si="43"/>
        <v>3852.3860555555566</v>
      </c>
      <c r="AL82" s="98">
        <f t="shared" si="44"/>
        <v>1027.8922500000001</v>
      </c>
      <c r="AM82" s="101">
        <f t="shared" si="45"/>
        <v>0.15</v>
      </c>
      <c r="AN82" s="98">
        <f t="shared" si="46"/>
        <v>1027.8922500000001</v>
      </c>
    </row>
    <row r="83" spans="1:40" x14ac:dyDescent="0.2">
      <c r="A83" s="92">
        <v>81</v>
      </c>
      <c r="B83" s="122">
        <v>46253</v>
      </c>
      <c r="C83" s="105">
        <v>77</v>
      </c>
      <c r="D83" s="120" t="s">
        <v>181</v>
      </c>
      <c r="E83" s="92">
        <v>81</v>
      </c>
      <c r="F83" s="102" t="s">
        <v>377</v>
      </c>
      <c r="G83" s="89" t="s">
        <v>55</v>
      </c>
      <c r="H83" s="93" t="s">
        <v>378</v>
      </c>
      <c r="I83" s="125" t="s">
        <v>375</v>
      </c>
      <c r="J83" s="89" t="s">
        <v>206</v>
      </c>
      <c r="K83" s="103" t="s">
        <v>379</v>
      </c>
      <c r="L83" s="89" t="s">
        <v>52</v>
      </c>
      <c r="M83" s="90">
        <v>0.4499999999999999</v>
      </c>
      <c r="N83" s="90">
        <v>0.43</v>
      </c>
      <c r="O83" s="115">
        <v>1.1632955910060137</v>
      </c>
      <c r="P83" s="116">
        <v>85.666666669999998</v>
      </c>
      <c r="Q83" s="117">
        <v>22277</v>
      </c>
      <c r="R83" s="118">
        <f t="shared" si="47"/>
        <v>742.56666666666672</v>
      </c>
      <c r="S83" s="94">
        <v>13</v>
      </c>
      <c r="T83" s="94">
        <f t="shared" si="33"/>
        <v>13</v>
      </c>
      <c r="U83" s="95">
        <v>349</v>
      </c>
      <c r="V83" s="96">
        <v>1</v>
      </c>
      <c r="W83" s="96">
        <v>30</v>
      </c>
      <c r="X83" s="94">
        <v>280</v>
      </c>
      <c r="Y83" s="94">
        <f t="shared" si="34"/>
        <v>109200</v>
      </c>
      <c r="Z83" s="101">
        <v>0.5</v>
      </c>
      <c r="AA83" s="101">
        <v>0.5</v>
      </c>
      <c r="AB83" s="97">
        <f t="shared" si="32"/>
        <v>1086003.75</v>
      </c>
      <c r="AC83" s="98">
        <f t="shared" si="35"/>
        <v>10470</v>
      </c>
      <c r="AD83" s="98">
        <f t="shared" si="36"/>
        <v>7.4234550295061137</v>
      </c>
      <c r="AE83" s="104">
        <f t="shared" si="37"/>
        <v>0.23</v>
      </c>
      <c r="AF83" s="99">
        <f t="shared" si="38"/>
        <v>8061.9000000000005</v>
      </c>
      <c r="AG83" s="95">
        <f t="shared" si="39"/>
        <v>944.44444444444446</v>
      </c>
      <c r="AH83" s="100">
        <f t="shared" si="40"/>
        <v>0.86217751260731201</v>
      </c>
      <c r="AI83" s="100">
        <f t="shared" si="41"/>
        <v>0.56217751260731197</v>
      </c>
      <c r="AJ83" s="95">
        <f t="shared" si="42"/>
        <v>5908.1705555555563</v>
      </c>
      <c r="AK83" s="98">
        <f t="shared" si="43"/>
        <v>3852.3860555555566</v>
      </c>
      <c r="AL83" s="98">
        <f t="shared" si="44"/>
        <v>1027.8922500000001</v>
      </c>
      <c r="AM83" s="101">
        <f t="shared" si="45"/>
        <v>0.15</v>
      </c>
      <c r="AN83" s="98">
        <f t="shared" si="46"/>
        <v>1027.8922500000001</v>
      </c>
    </row>
    <row r="84" spans="1:40" x14ac:dyDescent="0.2">
      <c r="A84" s="92">
        <v>276</v>
      </c>
      <c r="B84" s="122">
        <v>46266</v>
      </c>
      <c r="C84" s="105">
        <v>78</v>
      </c>
      <c r="D84" s="120" t="s">
        <v>181</v>
      </c>
      <c r="E84" s="92">
        <v>276</v>
      </c>
      <c r="F84" s="102" t="s">
        <v>380</v>
      </c>
      <c r="G84" s="89" t="s">
        <v>55</v>
      </c>
      <c r="H84" s="93" t="s">
        <v>381</v>
      </c>
      <c r="I84" s="125" t="s">
        <v>380</v>
      </c>
      <c r="J84" s="89" t="s">
        <v>192</v>
      </c>
      <c r="K84" s="103" t="s">
        <v>382</v>
      </c>
      <c r="L84" s="89" t="s">
        <v>52</v>
      </c>
      <c r="M84" s="90">
        <v>0.58166666666666667</v>
      </c>
      <c r="N84" s="90">
        <v>0.31666666666666665</v>
      </c>
      <c r="O84" s="115">
        <v>1.111810681180126</v>
      </c>
      <c r="P84" s="116">
        <v>48.333333333333336</v>
      </c>
      <c r="Q84" s="117">
        <v>21216</v>
      </c>
      <c r="R84" s="118">
        <f t="shared" si="47"/>
        <v>707.2</v>
      </c>
      <c r="S84" s="94">
        <v>16</v>
      </c>
      <c r="T84" s="94">
        <f t="shared" si="33"/>
        <v>16</v>
      </c>
      <c r="U84" s="95">
        <v>349</v>
      </c>
      <c r="V84" s="96">
        <v>1</v>
      </c>
      <c r="W84" s="96">
        <v>30</v>
      </c>
      <c r="X84" s="94">
        <v>280</v>
      </c>
      <c r="Y84" s="94">
        <f t="shared" si="34"/>
        <v>134400</v>
      </c>
      <c r="Z84" s="101">
        <v>0.5</v>
      </c>
      <c r="AA84" s="101">
        <v>0.5</v>
      </c>
      <c r="AB84" s="97">
        <f t="shared" si="32"/>
        <v>1272960</v>
      </c>
      <c r="AC84" s="98">
        <f t="shared" si="35"/>
        <v>10470</v>
      </c>
      <c r="AD84" s="98">
        <f t="shared" si="36"/>
        <v>6.3331919306184012</v>
      </c>
      <c r="AE84" s="104">
        <f t="shared" si="37"/>
        <v>0.23</v>
      </c>
      <c r="AF84" s="99">
        <f t="shared" si="38"/>
        <v>8061.9000000000005</v>
      </c>
      <c r="AG84" s="95">
        <f t="shared" si="39"/>
        <v>944.44444444444446</v>
      </c>
      <c r="AH84" s="100">
        <f t="shared" si="40"/>
        <v>0.86217751260731201</v>
      </c>
      <c r="AI84" s="100">
        <f t="shared" si="41"/>
        <v>0.56217751260731197</v>
      </c>
      <c r="AJ84" s="95">
        <f t="shared" si="42"/>
        <v>5908.1705555555563</v>
      </c>
      <c r="AK84" s="98">
        <f t="shared" si="43"/>
        <v>3852.3860555555566</v>
      </c>
      <c r="AL84" s="98">
        <f t="shared" si="44"/>
        <v>1027.8922500000001</v>
      </c>
      <c r="AM84" s="101">
        <f t="shared" si="45"/>
        <v>0.15</v>
      </c>
      <c r="AN84" s="98">
        <f t="shared" si="46"/>
        <v>1027.8922500000001</v>
      </c>
    </row>
    <row r="85" spans="1:40" x14ac:dyDescent="0.2">
      <c r="A85" s="92">
        <v>118</v>
      </c>
      <c r="B85" s="122">
        <v>46255</v>
      </c>
      <c r="C85" s="105">
        <v>79</v>
      </c>
      <c r="D85" s="120" t="s">
        <v>181</v>
      </c>
      <c r="E85" s="92">
        <v>118</v>
      </c>
      <c r="F85" s="102" t="s">
        <v>383</v>
      </c>
      <c r="G85" s="89" t="s">
        <v>55</v>
      </c>
      <c r="H85" s="93" t="s">
        <v>384</v>
      </c>
      <c r="I85" s="125" t="s">
        <v>385</v>
      </c>
      <c r="J85" s="89" t="s">
        <v>192</v>
      </c>
      <c r="K85" s="103" t="s">
        <v>386</v>
      </c>
      <c r="L85" s="89" t="s">
        <v>52</v>
      </c>
      <c r="M85" s="90">
        <v>0.52000000000000013</v>
      </c>
      <c r="N85" s="90">
        <v>0.32666666666666666</v>
      </c>
      <c r="O85" s="115">
        <v>1.1057211599088952</v>
      </c>
      <c r="P85" s="116">
        <v>73.333333333333329</v>
      </c>
      <c r="Q85" s="117">
        <v>33013.333333333336</v>
      </c>
      <c r="R85" s="118">
        <f t="shared" si="47"/>
        <v>1100.4444444444446</v>
      </c>
      <c r="S85" s="94">
        <v>7</v>
      </c>
      <c r="T85" s="94">
        <f t="shared" si="33"/>
        <v>7</v>
      </c>
      <c r="U85" s="95">
        <v>349</v>
      </c>
      <c r="V85" s="96">
        <v>1</v>
      </c>
      <c r="W85" s="96">
        <v>30</v>
      </c>
      <c r="X85" s="94">
        <v>280</v>
      </c>
      <c r="Y85" s="94">
        <f t="shared" si="34"/>
        <v>58800</v>
      </c>
      <c r="Z85" s="101">
        <v>0.5</v>
      </c>
      <c r="AA85" s="101">
        <v>0.5</v>
      </c>
      <c r="AB85" s="97">
        <f t="shared" si="32"/>
        <v>866600.00000000012</v>
      </c>
      <c r="AC85" s="98">
        <f t="shared" si="35"/>
        <v>10470</v>
      </c>
      <c r="AD85" s="98">
        <f t="shared" si="36"/>
        <v>9.3029079159935364</v>
      </c>
      <c r="AE85" s="104">
        <f t="shared" si="37"/>
        <v>0.23</v>
      </c>
      <c r="AF85" s="99">
        <f t="shared" si="38"/>
        <v>8061.9000000000005</v>
      </c>
      <c r="AG85" s="95">
        <f t="shared" si="39"/>
        <v>944.44444444444446</v>
      </c>
      <c r="AH85" s="100">
        <f t="shared" si="40"/>
        <v>0.86217751260731201</v>
      </c>
      <c r="AI85" s="100">
        <f t="shared" si="41"/>
        <v>0.56217751260731197</v>
      </c>
      <c r="AJ85" s="95">
        <f t="shared" si="42"/>
        <v>5908.1705555555563</v>
      </c>
      <c r="AK85" s="98">
        <f t="shared" si="43"/>
        <v>3852.3860555555566</v>
      </c>
      <c r="AL85" s="98">
        <f t="shared" si="44"/>
        <v>1027.8922500000001</v>
      </c>
      <c r="AM85" s="101">
        <f t="shared" si="45"/>
        <v>0.15</v>
      </c>
      <c r="AN85" s="98">
        <f t="shared" si="46"/>
        <v>1027.8922500000001</v>
      </c>
    </row>
    <row r="86" spans="1:40" x14ac:dyDescent="0.2">
      <c r="A86" s="92">
        <v>131</v>
      </c>
      <c r="B86" s="122">
        <v>46253</v>
      </c>
      <c r="C86" s="105">
        <v>80</v>
      </c>
      <c r="D86" s="120" t="s">
        <v>181</v>
      </c>
      <c r="E86" s="92">
        <v>131</v>
      </c>
      <c r="F86" s="102" t="s">
        <v>387</v>
      </c>
      <c r="G86" s="89" t="s">
        <v>55</v>
      </c>
      <c r="H86" s="93" t="s">
        <v>388</v>
      </c>
      <c r="I86" s="125" t="s">
        <v>389</v>
      </c>
      <c r="J86" s="89" t="s">
        <v>390</v>
      </c>
      <c r="K86" s="103" t="s">
        <v>391</v>
      </c>
      <c r="L86" s="89" t="s">
        <v>52</v>
      </c>
      <c r="M86" s="90">
        <v>0.44</v>
      </c>
      <c r="N86" s="90">
        <v>0.42</v>
      </c>
      <c r="O86" s="115">
        <v>1.1229019929019928</v>
      </c>
      <c r="P86" s="116">
        <v>63.333333333333336</v>
      </c>
      <c r="Q86" s="117">
        <v>14687</v>
      </c>
      <c r="R86" s="118">
        <f t="shared" si="47"/>
        <v>489.56666666666666</v>
      </c>
      <c r="S86" s="94">
        <v>15</v>
      </c>
      <c r="T86" s="94">
        <f t="shared" si="33"/>
        <v>15</v>
      </c>
      <c r="U86" s="95">
        <v>349</v>
      </c>
      <c r="V86" s="96">
        <v>1</v>
      </c>
      <c r="W86" s="96">
        <v>30</v>
      </c>
      <c r="X86" s="94">
        <v>280</v>
      </c>
      <c r="Y86" s="94">
        <f t="shared" si="34"/>
        <v>126000</v>
      </c>
      <c r="Z86" s="101">
        <v>0.5</v>
      </c>
      <c r="AA86" s="101">
        <v>0.5</v>
      </c>
      <c r="AB86" s="97">
        <f t="shared" si="32"/>
        <v>826143.75</v>
      </c>
      <c r="AC86" s="98">
        <f t="shared" si="35"/>
        <v>10470</v>
      </c>
      <c r="AD86" s="98">
        <f t="shared" si="36"/>
        <v>9.7584712103674462</v>
      </c>
      <c r="AE86" s="104">
        <f t="shared" si="37"/>
        <v>0.23</v>
      </c>
      <c r="AF86" s="99">
        <f t="shared" si="38"/>
        <v>8061.9000000000005</v>
      </c>
      <c r="AG86" s="95">
        <f t="shared" si="39"/>
        <v>944.44444444444446</v>
      </c>
      <c r="AH86" s="100">
        <f t="shared" si="40"/>
        <v>0.86217751260731201</v>
      </c>
      <c r="AI86" s="100">
        <f t="shared" si="41"/>
        <v>0.56217751260731197</v>
      </c>
      <c r="AJ86" s="95">
        <f t="shared" si="42"/>
        <v>5908.1705555555563</v>
      </c>
      <c r="AK86" s="98">
        <f t="shared" si="43"/>
        <v>3852.3860555555566</v>
      </c>
      <c r="AL86" s="98">
        <f t="shared" si="44"/>
        <v>1027.8922500000001</v>
      </c>
      <c r="AM86" s="101">
        <f t="shared" si="45"/>
        <v>0.15</v>
      </c>
      <c r="AN86" s="98">
        <f t="shared" si="46"/>
        <v>1027.8922500000001</v>
      </c>
    </row>
    <row r="87" spans="1:40" x14ac:dyDescent="0.2">
      <c r="A87" s="92">
        <v>133</v>
      </c>
      <c r="B87" s="122">
        <v>46248</v>
      </c>
      <c r="C87" s="105">
        <v>81</v>
      </c>
      <c r="D87" s="120" t="s">
        <v>181</v>
      </c>
      <c r="E87" s="92">
        <v>133</v>
      </c>
      <c r="F87" s="102" t="s">
        <v>392</v>
      </c>
      <c r="G87" s="89" t="s">
        <v>55</v>
      </c>
      <c r="H87" s="93" t="s">
        <v>393</v>
      </c>
      <c r="I87" s="125" t="s">
        <v>394</v>
      </c>
      <c r="J87" s="89" t="s">
        <v>186</v>
      </c>
      <c r="K87" s="103" t="s">
        <v>395</v>
      </c>
      <c r="L87" s="89" t="s">
        <v>52</v>
      </c>
      <c r="M87" s="90">
        <v>0.39999999999999997</v>
      </c>
      <c r="N87" s="90">
        <v>0.40333333333333338</v>
      </c>
      <c r="O87" s="115">
        <v>1.1181590577760161</v>
      </c>
      <c r="P87" s="116">
        <v>70.666666669999998</v>
      </c>
      <c r="Q87" s="117">
        <v>19525</v>
      </c>
      <c r="R87" s="118">
        <f t="shared" si="47"/>
        <v>650.83333333333337</v>
      </c>
      <c r="S87" s="94">
        <v>10</v>
      </c>
      <c r="T87" s="94">
        <f t="shared" si="33"/>
        <v>10</v>
      </c>
      <c r="U87" s="95">
        <v>349</v>
      </c>
      <c r="V87" s="96">
        <v>1</v>
      </c>
      <c r="W87" s="96">
        <v>30</v>
      </c>
      <c r="X87" s="94">
        <v>280</v>
      </c>
      <c r="Y87" s="94">
        <f t="shared" si="34"/>
        <v>84000</v>
      </c>
      <c r="Z87" s="101">
        <v>0.5</v>
      </c>
      <c r="AA87" s="101">
        <v>0.5</v>
      </c>
      <c r="AB87" s="97">
        <f t="shared" si="32"/>
        <v>732187.5</v>
      </c>
      <c r="AC87" s="98">
        <f t="shared" si="35"/>
        <v>10470</v>
      </c>
      <c r="AD87" s="98">
        <f t="shared" si="36"/>
        <v>11.010704225352113</v>
      </c>
      <c r="AE87" s="104">
        <f t="shared" si="37"/>
        <v>0.23</v>
      </c>
      <c r="AF87" s="99">
        <f t="shared" si="38"/>
        <v>8061.9000000000005</v>
      </c>
      <c r="AG87" s="95">
        <f t="shared" si="39"/>
        <v>944.44444444444446</v>
      </c>
      <c r="AH87" s="100">
        <f t="shared" si="40"/>
        <v>0.86217751260731201</v>
      </c>
      <c r="AI87" s="100">
        <f t="shared" si="41"/>
        <v>0.56217751260731197</v>
      </c>
      <c r="AJ87" s="95">
        <f t="shared" si="42"/>
        <v>5908.1705555555563</v>
      </c>
      <c r="AK87" s="98">
        <f t="shared" si="43"/>
        <v>3852.3860555555566</v>
      </c>
      <c r="AL87" s="98">
        <f t="shared" si="44"/>
        <v>1027.8922500000001</v>
      </c>
      <c r="AM87" s="101">
        <f t="shared" si="45"/>
        <v>0.15</v>
      </c>
      <c r="AN87" s="98">
        <f t="shared" si="46"/>
        <v>1027.8922500000001</v>
      </c>
    </row>
    <row r="88" spans="1:40" x14ac:dyDescent="0.2">
      <c r="A88" s="92">
        <v>139</v>
      </c>
      <c r="B88" s="122">
        <v>46255</v>
      </c>
      <c r="C88" s="105">
        <v>82</v>
      </c>
      <c r="D88" s="120" t="s">
        <v>181</v>
      </c>
      <c r="E88" s="92">
        <v>139</v>
      </c>
      <c r="F88" s="102" t="s">
        <v>396</v>
      </c>
      <c r="G88" s="89" t="s">
        <v>55</v>
      </c>
      <c r="H88" s="93" t="s">
        <v>397</v>
      </c>
      <c r="I88" s="125" t="s">
        <v>398</v>
      </c>
      <c r="J88" s="89" t="s">
        <v>186</v>
      </c>
      <c r="K88" s="103" t="s">
        <v>399</v>
      </c>
      <c r="L88" s="89" t="s">
        <v>52</v>
      </c>
      <c r="M88" s="90">
        <v>0.52666666666666662</v>
      </c>
      <c r="N88" s="90">
        <v>0.30166666666666669</v>
      </c>
      <c r="O88" s="115">
        <v>1.1107577121729133</v>
      </c>
      <c r="P88" s="116">
        <v>37.666666666666664</v>
      </c>
      <c r="Q88" s="117">
        <v>24059</v>
      </c>
      <c r="R88" s="118">
        <f t="shared" si="47"/>
        <v>801.9666666666667</v>
      </c>
      <c r="S88" s="94">
        <v>8</v>
      </c>
      <c r="T88" s="94">
        <f t="shared" si="33"/>
        <v>8</v>
      </c>
      <c r="U88" s="95">
        <v>349</v>
      </c>
      <c r="V88" s="96">
        <v>1</v>
      </c>
      <c r="W88" s="96">
        <v>30</v>
      </c>
      <c r="X88" s="94">
        <v>280</v>
      </c>
      <c r="Y88" s="94">
        <f t="shared" si="34"/>
        <v>67200</v>
      </c>
      <c r="Z88" s="101">
        <v>0.5</v>
      </c>
      <c r="AA88" s="101">
        <v>0.5</v>
      </c>
      <c r="AB88" s="97">
        <f t="shared" si="32"/>
        <v>721770</v>
      </c>
      <c r="AC88" s="98">
        <f t="shared" si="35"/>
        <v>10470</v>
      </c>
      <c r="AD88" s="98">
        <f t="shared" si="36"/>
        <v>11.169624672679664</v>
      </c>
      <c r="AE88" s="104">
        <f t="shared" si="37"/>
        <v>0.23</v>
      </c>
      <c r="AF88" s="99">
        <f t="shared" si="38"/>
        <v>8061.9000000000005</v>
      </c>
      <c r="AG88" s="95">
        <f t="shared" si="39"/>
        <v>944.44444444444446</v>
      </c>
      <c r="AH88" s="100">
        <f t="shared" si="40"/>
        <v>0.86217751260731201</v>
      </c>
      <c r="AI88" s="100">
        <f t="shared" si="41"/>
        <v>0.56217751260731197</v>
      </c>
      <c r="AJ88" s="95">
        <f t="shared" si="42"/>
        <v>5908.1705555555563</v>
      </c>
      <c r="AK88" s="98">
        <f t="shared" si="43"/>
        <v>3852.3860555555566</v>
      </c>
      <c r="AL88" s="98">
        <f t="shared" si="44"/>
        <v>1027.8922500000001</v>
      </c>
      <c r="AM88" s="101">
        <f t="shared" si="45"/>
        <v>0.15</v>
      </c>
      <c r="AN88" s="98">
        <f t="shared" si="46"/>
        <v>1027.8922500000001</v>
      </c>
    </row>
    <row r="89" spans="1:40" x14ac:dyDescent="0.2">
      <c r="A89" s="92">
        <v>151</v>
      </c>
      <c r="B89" s="122">
        <v>46248</v>
      </c>
      <c r="C89" s="105">
        <v>83</v>
      </c>
      <c r="D89" s="120" t="s">
        <v>181</v>
      </c>
      <c r="E89" s="92">
        <v>151</v>
      </c>
      <c r="F89" s="102" t="s">
        <v>400</v>
      </c>
      <c r="G89" s="89" t="s">
        <v>55</v>
      </c>
      <c r="H89" s="93" t="s">
        <v>401</v>
      </c>
      <c r="I89" s="125" t="s">
        <v>402</v>
      </c>
      <c r="J89" s="89" t="s">
        <v>186</v>
      </c>
      <c r="K89" s="103" t="s">
        <v>403</v>
      </c>
      <c r="L89" s="89" t="s">
        <v>52</v>
      </c>
      <c r="M89" s="90">
        <v>0.46666666666666662</v>
      </c>
      <c r="N89" s="90">
        <v>0.40666666666666668</v>
      </c>
      <c r="O89" s="115">
        <v>1.1684776932145755</v>
      </c>
      <c r="P89" s="116">
        <v>91.333333333333329</v>
      </c>
      <c r="Q89" s="117">
        <v>29058.666666666668</v>
      </c>
      <c r="R89" s="118">
        <f t="shared" si="47"/>
        <v>968.62222222222226</v>
      </c>
      <c r="S89" s="94">
        <v>7</v>
      </c>
      <c r="T89" s="94">
        <f t="shared" si="33"/>
        <v>7</v>
      </c>
      <c r="U89" s="95">
        <v>349</v>
      </c>
      <c r="V89" s="96">
        <v>1</v>
      </c>
      <c r="W89" s="96">
        <v>30</v>
      </c>
      <c r="X89" s="94">
        <v>280</v>
      </c>
      <c r="Y89" s="94">
        <f t="shared" si="34"/>
        <v>58800</v>
      </c>
      <c r="Z89" s="101">
        <v>0.5</v>
      </c>
      <c r="AA89" s="101">
        <v>0.5</v>
      </c>
      <c r="AB89" s="97">
        <f t="shared" si="32"/>
        <v>762790</v>
      </c>
      <c r="AC89" s="98">
        <f t="shared" si="35"/>
        <v>10470</v>
      </c>
      <c r="AD89" s="98">
        <f t="shared" si="36"/>
        <v>10.568963935027991</v>
      </c>
      <c r="AE89" s="104">
        <f t="shared" si="37"/>
        <v>0.23</v>
      </c>
      <c r="AF89" s="99">
        <f t="shared" si="38"/>
        <v>8061.9000000000005</v>
      </c>
      <c r="AG89" s="95">
        <f t="shared" si="39"/>
        <v>944.44444444444446</v>
      </c>
      <c r="AH89" s="100">
        <f t="shared" si="40"/>
        <v>0.86217751260731201</v>
      </c>
      <c r="AI89" s="100">
        <f t="shared" si="41"/>
        <v>0.56217751260731197</v>
      </c>
      <c r="AJ89" s="95">
        <f t="shared" si="42"/>
        <v>5908.1705555555563</v>
      </c>
      <c r="AK89" s="98">
        <f t="shared" si="43"/>
        <v>3852.3860555555566</v>
      </c>
      <c r="AL89" s="98">
        <f t="shared" si="44"/>
        <v>1027.8922500000001</v>
      </c>
      <c r="AM89" s="101">
        <f t="shared" si="45"/>
        <v>0.15</v>
      </c>
      <c r="AN89" s="98">
        <f t="shared" si="46"/>
        <v>1027.8922500000001</v>
      </c>
    </row>
    <row r="90" spans="1:40" x14ac:dyDescent="0.2">
      <c r="A90" s="92">
        <v>274</v>
      </c>
      <c r="B90" s="122">
        <v>46251</v>
      </c>
      <c r="C90" s="105">
        <v>84</v>
      </c>
      <c r="D90" s="120" t="s">
        <v>181</v>
      </c>
      <c r="E90" s="92">
        <v>274</v>
      </c>
      <c r="F90" s="102" t="s">
        <v>404</v>
      </c>
      <c r="G90" s="89" t="s">
        <v>55</v>
      </c>
      <c r="H90" s="93" t="s">
        <v>405</v>
      </c>
      <c r="I90" s="125" t="s">
        <v>406</v>
      </c>
      <c r="J90" s="89" t="s">
        <v>186</v>
      </c>
      <c r="K90" s="103" t="s">
        <v>407</v>
      </c>
      <c r="L90" s="89" t="s">
        <v>52</v>
      </c>
      <c r="M90" s="90">
        <v>0.45333333333333331</v>
      </c>
      <c r="N90" s="90">
        <v>0.44166666666666665</v>
      </c>
      <c r="O90" s="115">
        <v>1.1696328433332162</v>
      </c>
      <c r="P90" s="116">
        <v>103.66666666666667</v>
      </c>
      <c r="Q90" s="117">
        <v>19232.333333333332</v>
      </c>
      <c r="R90" s="118">
        <f t="shared" si="47"/>
        <v>641.07777777777778</v>
      </c>
      <c r="S90" s="94">
        <v>7</v>
      </c>
      <c r="T90" s="94">
        <f t="shared" si="33"/>
        <v>7</v>
      </c>
      <c r="U90" s="95">
        <v>349</v>
      </c>
      <c r="V90" s="96">
        <v>1</v>
      </c>
      <c r="W90" s="96">
        <v>30</v>
      </c>
      <c r="X90" s="94">
        <v>280</v>
      </c>
      <c r="Y90" s="94">
        <f t="shared" si="34"/>
        <v>58800</v>
      </c>
      <c r="Z90" s="101">
        <v>0.5</v>
      </c>
      <c r="AA90" s="101">
        <v>0.5</v>
      </c>
      <c r="AB90" s="97">
        <f t="shared" si="32"/>
        <v>504848.75</v>
      </c>
      <c r="AC90" s="98">
        <f t="shared" si="35"/>
        <v>10470</v>
      </c>
      <c r="AD90" s="98">
        <f t="shared" si="36"/>
        <v>15.968941192782989</v>
      </c>
      <c r="AE90" s="104">
        <f t="shared" si="37"/>
        <v>0.23</v>
      </c>
      <c r="AF90" s="99">
        <f t="shared" si="38"/>
        <v>8061.9000000000005</v>
      </c>
      <c r="AG90" s="95">
        <f t="shared" si="39"/>
        <v>944.44444444444446</v>
      </c>
      <c r="AH90" s="100">
        <f t="shared" si="40"/>
        <v>0.86217751260731201</v>
      </c>
      <c r="AI90" s="100">
        <f t="shared" si="41"/>
        <v>0.56217751260731197</v>
      </c>
      <c r="AJ90" s="95">
        <f t="shared" si="42"/>
        <v>5908.1705555555563</v>
      </c>
      <c r="AK90" s="98">
        <f t="shared" si="43"/>
        <v>3852.3860555555566</v>
      </c>
      <c r="AL90" s="98">
        <f t="shared" si="44"/>
        <v>1027.8922500000001</v>
      </c>
      <c r="AM90" s="101">
        <f t="shared" si="45"/>
        <v>0.15</v>
      </c>
      <c r="AN90" s="98">
        <f t="shared" si="46"/>
        <v>1027.8922500000001</v>
      </c>
    </row>
    <row r="91" spans="1:40" x14ac:dyDescent="0.2">
      <c r="A91" s="92">
        <v>320</v>
      </c>
      <c r="B91" s="122">
        <v>46255</v>
      </c>
      <c r="C91" s="105">
        <v>85</v>
      </c>
      <c r="D91" s="120" t="s">
        <v>181</v>
      </c>
      <c r="E91" s="92">
        <v>320</v>
      </c>
      <c r="F91" s="102" t="s">
        <v>408</v>
      </c>
      <c r="G91" s="89" t="s">
        <v>55</v>
      </c>
      <c r="H91" s="93" t="s">
        <v>409</v>
      </c>
      <c r="I91" s="125" t="s">
        <v>191</v>
      </c>
      <c r="J91" s="89" t="s">
        <v>192</v>
      </c>
      <c r="K91" s="103" t="s">
        <v>410</v>
      </c>
      <c r="L91" s="89" t="s">
        <v>52</v>
      </c>
      <c r="M91" s="90">
        <v>0.57833333333333325</v>
      </c>
      <c r="N91" s="90">
        <v>0.36166666666666664</v>
      </c>
      <c r="O91" s="115">
        <v>1.138054290416654</v>
      </c>
      <c r="P91" s="116">
        <v>59.666666666666664</v>
      </c>
      <c r="Q91" s="117">
        <v>16578.666666666668</v>
      </c>
      <c r="R91" s="118">
        <f t="shared" si="47"/>
        <v>552.62222222222226</v>
      </c>
      <c r="S91" s="94">
        <v>8</v>
      </c>
      <c r="T91" s="94">
        <f t="shared" si="33"/>
        <v>8</v>
      </c>
      <c r="U91" s="95">
        <v>349</v>
      </c>
      <c r="V91" s="96">
        <v>1</v>
      </c>
      <c r="W91" s="96">
        <v>30</v>
      </c>
      <c r="X91" s="94">
        <v>280</v>
      </c>
      <c r="Y91" s="94">
        <f t="shared" si="34"/>
        <v>67200</v>
      </c>
      <c r="Z91" s="101">
        <v>0.5</v>
      </c>
      <c r="AA91" s="101">
        <v>0.5</v>
      </c>
      <c r="AB91" s="97">
        <f t="shared" si="32"/>
        <v>497360.00000000006</v>
      </c>
      <c r="AC91" s="98">
        <f t="shared" si="35"/>
        <v>10470</v>
      </c>
      <c r="AD91" s="98">
        <f t="shared" si="36"/>
        <v>16.209385555734276</v>
      </c>
      <c r="AE91" s="104">
        <f t="shared" si="37"/>
        <v>0.23</v>
      </c>
      <c r="AF91" s="99">
        <f t="shared" si="38"/>
        <v>8061.9000000000005</v>
      </c>
      <c r="AG91" s="95">
        <f t="shared" si="39"/>
        <v>944.44444444444446</v>
      </c>
      <c r="AH91" s="100">
        <f t="shared" si="40"/>
        <v>0.86217751260731201</v>
      </c>
      <c r="AI91" s="100">
        <f t="shared" si="41"/>
        <v>0.56217751260731197</v>
      </c>
      <c r="AJ91" s="95">
        <f t="shared" si="42"/>
        <v>5908.1705555555563</v>
      </c>
      <c r="AK91" s="98">
        <f t="shared" si="43"/>
        <v>3852.3860555555566</v>
      </c>
      <c r="AL91" s="98">
        <f t="shared" si="44"/>
        <v>1027.8922500000001</v>
      </c>
      <c r="AM91" s="101">
        <f t="shared" si="45"/>
        <v>0.15</v>
      </c>
      <c r="AN91" s="98">
        <f t="shared" si="46"/>
        <v>1027.8922500000001</v>
      </c>
    </row>
    <row r="92" spans="1:40" x14ac:dyDescent="0.2">
      <c r="A92" s="92">
        <v>916</v>
      </c>
      <c r="B92" s="105" t="s">
        <v>281</v>
      </c>
      <c r="C92" s="105">
        <v>86</v>
      </c>
      <c r="D92" s="121" t="s">
        <v>252</v>
      </c>
      <c r="E92" s="92">
        <v>916</v>
      </c>
      <c r="F92" s="102" t="s">
        <v>411</v>
      </c>
      <c r="G92" s="89" t="s">
        <v>47</v>
      </c>
      <c r="H92" s="93" t="s">
        <v>412</v>
      </c>
      <c r="I92" s="125" t="s">
        <v>411</v>
      </c>
      <c r="J92" s="89" t="s">
        <v>413</v>
      </c>
      <c r="K92" s="103" t="s">
        <v>414</v>
      </c>
      <c r="L92" s="89" t="s">
        <v>52</v>
      </c>
      <c r="M92" s="90" t="s">
        <v>415</v>
      </c>
      <c r="N92" s="90" t="s">
        <v>415</v>
      </c>
      <c r="O92" s="115">
        <v>5.347124</v>
      </c>
      <c r="P92" s="116">
        <v>212.7435897</v>
      </c>
      <c r="Q92" s="117">
        <v>40423</v>
      </c>
      <c r="R92" s="118">
        <f t="shared" si="47"/>
        <v>1347.4333333333334</v>
      </c>
      <c r="S92" s="94">
        <v>8</v>
      </c>
      <c r="T92" s="94">
        <f t="shared" si="33"/>
        <v>8</v>
      </c>
      <c r="U92" s="95">
        <v>349</v>
      </c>
      <c r="V92" s="96">
        <v>1</v>
      </c>
      <c r="W92" s="96">
        <v>30</v>
      </c>
      <c r="X92" s="94">
        <v>280</v>
      </c>
      <c r="Y92" s="94">
        <f t="shared" si="34"/>
        <v>67200</v>
      </c>
      <c r="Z92" s="101">
        <v>0.5</v>
      </c>
      <c r="AA92" s="101">
        <v>0.5</v>
      </c>
      <c r="AB92" s="97">
        <f t="shared" ref="AB92:AB106" si="48">(R92*W92)*Z92*((20/60)*45)*T92*AA92</f>
        <v>1212690</v>
      </c>
      <c r="AC92" s="98">
        <f t="shared" si="35"/>
        <v>10470</v>
      </c>
      <c r="AD92" s="98">
        <f t="shared" si="36"/>
        <v>6.647947950424264</v>
      </c>
      <c r="AE92" s="104">
        <f t="shared" si="37"/>
        <v>0.23</v>
      </c>
      <c r="AF92" s="99">
        <f t="shared" si="38"/>
        <v>8061.9000000000005</v>
      </c>
      <c r="AG92" s="95">
        <f t="shared" si="39"/>
        <v>944.44444444444446</v>
      </c>
      <c r="AH92" s="100">
        <f t="shared" si="40"/>
        <v>0.86217751260731201</v>
      </c>
      <c r="AI92" s="100">
        <f t="shared" si="41"/>
        <v>0.56217751260731197</v>
      </c>
      <c r="AJ92" s="95">
        <f t="shared" si="42"/>
        <v>5908.1705555555563</v>
      </c>
      <c r="AK92" s="98">
        <f t="shared" si="43"/>
        <v>3852.3860555555566</v>
      </c>
      <c r="AL92" s="98">
        <f t="shared" si="44"/>
        <v>1027.8922500000001</v>
      </c>
      <c r="AM92" s="101">
        <f t="shared" si="45"/>
        <v>0.15</v>
      </c>
      <c r="AN92" s="98">
        <f t="shared" si="46"/>
        <v>1027.8922500000001</v>
      </c>
    </row>
    <row r="93" spans="1:40" x14ac:dyDescent="0.2">
      <c r="A93" s="92">
        <v>901</v>
      </c>
      <c r="B93" s="105" t="s">
        <v>281</v>
      </c>
      <c r="C93" s="105">
        <v>87</v>
      </c>
      <c r="D93" s="121" t="s">
        <v>252</v>
      </c>
      <c r="E93" s="92">
        <v>901</v>
      </c>
      <c r="F93" s="102" t="s">
        <v>416</v>
      </c>
      <c r="G93" s="89" t="s">
        <v>55</v>
      </c>
      <c r="H93" s="93" t="s">
        <v>417</v>
      </c>
      <c r="I93" s="125" t="s">
        <v>418</v>
      </c>
      <c r="J93" s="89" t="s">
        <v>413</v>
      </c>
      <c r="K93" s="103" t="s">
        <v>419</v>
      </c>
      <c r="L93" s="89" t="s">
        <v>52</v>
      </c>
      <c r="M93" s="90" t="s">
        <v>415</v>
      </c>
      <c r="N93" s="90" t="s">
        <v>415</v>
      </c>
      <c r="O93" s="115">
        <v>6.7228300000000001</v>
      </c>
      <c r="P93" s="116">
        <v>265</v>
      </c>
      <c r="Q93" s="117">
        <v>68536</v>
      </c>
      <c r="R93" s="118">
        <f t="shared" si="47"/>
        <v>2284.5333333333333</v>
      </c>
      <c r="S93" s="94">
        <v>8</v>
      </c>
      <c r="T93" s="94">
        <f t="shared" si="33"/>
        <v>8</v>
      </c>
      <c r="U93" s="95">
        <v>349</v>
      </c>
      <c r="V93" s="96">
        <v>1</v>
      </c>
      <c r="W93" s="96">
        <v>30</v>
      </c>
      <c r="X93" s="94">
        <v>280</v>
      </c>
      <c r="Y93" s="94">
        <f t="shared" si="34"/>
        <v>67200</v>
      </c>
      <c r="Z93" s="101">
        <v>0.5</v>
      </c>
      <c r="AA93" s="101">
        <v>0.5</v>
      </c>
      <c r="AB93" s="97">
        <f t="shared" si="48"/>
        <v>2056080</v>
      </c>
      <c r="AC93" s="98">
        <f t="shared" si="35"/>
        <v>10470</v>
      </c>
      <c r="AD93" s="98">
        <f t="shared" si="36"/>
        <v>3.9210050192599515</v>
      </c>
      <c r="AE93" s="104">
        <f t="shared" si="37"/>
        <v>0.23</v>
      </c>
      <c r="AF93" s="99">
        <f t="shared" si="38"/>
        <v>8061.9000000000005</v>
      </c>
      <c r="AG93" s="95">
        <f t="shared" si="39"/>
        <v>944.44444444444446</v>
      </c>
      <c r="AH93" s="100">
        <f t="shared" si="40"/>
        <v>0.86217751260731201</v>
      </c>
      <c r="AI93" s="100">
        <f t="shared" si="41"/>
        <v>0.56217751260731197</v>
      </c>
      <c r="AJ93" s="95">
        <f t="shared" si="42"/>
        <v>5908.1705555555563</v>
      </c>
      <c r="AK93" s="98">
        <f t="shared" si="43"/>
        <v>3852.3860555555566</v>
      </c>
      <c r="AL93" s="98">
        <f t="shared" si="44"/>
        <v>1027.8922500000001</v>
      </c>
      <c r="AM93" s="101">
        <f t="shared" si="45"/>
        <v>0.15</v>
      </c>
      <c r="AN93" s="98">
        <f t="shared" si="46"/>
        <v>1027.8922500000001</v>
      </c>
    </row>
    <row r="94" spans="1:40" x14ac:dyDescent="0.2">
      <c r="A94" s="92">
        <v>902</v>
      </c>
      <c r="B94" s="105" t="s">
        <v>281</v>
      </c>
      <c r="C94" s="105">
        <v>88</v>
      </c>
      <c r="D94" s="121" t="s">
        <v>252</v>
      </c>
      <c r="E94" s="92">
        <v>902</v>
      </c>
      <c r="F94" s="102" t="s">
        <v>420</v>
      </c>
      <c r="G94" s="89" t="s">
        <v>47</v>
      </c>
      <c r="H94" s="93" t="s">
        <v>421</v>
      </c>
      <c r="I94" s="125" t="s">
        <v>422</v>
      </c>
      <c r="J94" s="89" t="s">
        <v>413</v>
      </c>
      <c r="K94" s="103" t="s">
        <v>423</v>
      </c>
      <c r="L94" s="89" t="s">
        <v>52</v>
      </c>
      <c r="M94" s="90" t="s">
        <v>415</v>
      </c>
      <c r="N94" s="90" t="s">
        <v>415</v>
      </c>
      <c r="O94" s="115">
        <v>4.8583879999999997</v>
      </c>
      <c r="P94" s="116">
        <v>334.66666670000001</v>
      </c>
      <c r="Q94" s="117">
        <v>35589</v>
      </c>
      <c r="R94" s="118">
        <f t="shared" si="47"/>
        <v>1186.3</v>
      </c>
      <c r="S94" s="94">
        <v>8</v>
      </c>
      <c r="T94" s="94">
        <f t="shared" si="33"/>
        <v>8</v>
      </c>
      <c r="U94" s="95">
        <v>349</v>
      </c>
      <c r="V94" s="96">
        <v>1</v>
      </c>
      <c r="W94" s="96">
        <v>30</v>
      </c>
      <c r="X94" s="94">
        <v>280</v>
      </c>
      <c r="Y94" s="94">
        <f t="shared" si="34"/>
        <v>67200</v>
      </c>
      <c r="Z94" s="101">
        <v>0.5</v>
      </c>
      <c r="AA94" s="101">
        <v>0.5</v>
      </c>
      <c r="AB94" s="97">
        <f t="shared" si="48"/>
        <v>1067670</v>
      </c>
      <c r="AC94" s="98">
        <f t="shared" si="35"/>
        <v>10470</v>
      </c>
      <c r="AD94" s="98">
        <f t="shared" si="36"/>
        <v>7.5509286577313217</v>
      </c>
      <c r="AE94" s="104">
        <f t="shared" si="37"/>
        <v>0.23</v>
      </c>
      <c r="AF94" s="99">
        <f t="shared" si="38"/>
        <v>8061.9000000000005</v>
      </c>
      <c r="AG94" s="95">
        <f t="shared" si="39"/>
        <v>944.44444444444446</v>
      </c>
      <c r="AH94" s="100">
        <f t="shared" si="40"/>
        <v>0.86217751260731201</v>
      </c>
      <c r="AI94" s="100">
        <f t="shared" si="41"/>
        <v>0.56217751260731197</v>
      </c>
      <c r="AJ94" s="95">
        <f t="shared" si="42"/>
        <v>5908.1705555555563</v>
      </c>
      <c r="AK94" s="98">
        <f t="shared" si="43"/>
        <v>3852.3860555555566</v>
      </c>
      <c r="AL94" s="98">
        <f t="shared" si="44"/>
        <v>1027.8922500000001</v>
      </c>
      <c r="AM94" s="101">
        <f t="shared" si="45"/>
        <v>0.15</v>
      </c>
      <c r="AN94" s="98">
        <f t="shared" si="46"/>
        <v>1027.8922500000001</v>
      </c>
    </row>
    <row r="95" spans="1:40" x14ac:dyDescent="0.2">
      <c r="A95" s="92">
        <v>905</v>
      </c>
      <c r="B95" s="105" t="s">
        <v>281</v>
      </c>
      <c r="C95" s="105">
        <v>89</v>
      </c>
      <c r="D95" s="121" t="s">
        <v>252</v>
      </c>
      <c r="E95" s="92">
        <v>905</v>
      </c>
      <c r="F95" s="102" t="s">
        <v>262</v>
      </c>
      <c r="G95" s="89" t="s">
        <v>47</v>
      </c>
      <c r="H95" s="93" t="s">
        <v>424</v>
      </c>
      <c r="I95" s="125" t="s">
        <v>425</v>
      </c>
      <c r="J95" s="89" t="s">
        <v>413</v>
      </c>
      <c r="K95" s="103" t="s">
        <v>426</v>
      </c>
      <c r="L95" s="89" t="s">
        <v>52</v>
      </c>
      <c r="M95" s="90" t="s">
        <v>415</v>
      </c>
      <c r="N95" s="90" t="s">
        <v>415</v>
      </c>
      <c r="O95" s="115">
        <v>5.820233</v>
      </c>
      <c r="P95" s="116">
        <v>278.66666666666669</v>
      </c>
      <c r="Q95" s="117">
        <v>37035</v>
      </c>
      <c r="R95" s="118">
        <f t="shared" si="47"/>
        <v>1234.5</v>
      </c>
      <c r="S95" s="94">
        <v>8</v>
      </c>
      <c r="T95" s="94">
        <f t="shared" si="33"/>
        <v>8</v>
      </c>
      <c r="U95" s="95">
        <v>349</v>
      </c>
      <c r="V95" s="96">
        <v>1</v>
      </c>
      <c r="W95" s="96">
        <v>30</v>
      </c>
      <c r="X95" s="94">
        <v>280</v>
      </c>
      <c r="Y95" s="94">
        <f t="shared" si="34"/>
        <v>67200</v>
      </c>
      <c r="Z95" s="101">
        <v>0.5</v>
      </c>
      <c r="AA95" s="101">
        <v>0.5</v>
      </c>
      <c r="AB95" s="97">
        <f t="shared" si="48"/>
        <v>1111050</v>
      </c>
      <c r="AC95" s="98">
        <f t="shared" si="35"/>
        <v>10470</v>
      </c>
      <c r="AD95" s="98">
        <f t="shared" si="36"/>
        <v>7.2561090859997304</v>
      </c>
      <c r="AE95" s="104">
        <f t="shared" si="37"/>
        <v>0.23</v>
      </c>
      <c r="AF95" s="99">
        <f t="shared" si="38"/>
        <v>8061.9000000000005</v>
      </c>
      <c r="AG95" s="95">
        <f t="shared" si="39"/>
        <v>944.44444444444446</v>
      </c>
      <c r="AH95" s="100">
        <f t="shared" si="40"/>
        <v>0.86217751260731201</v>
      </c>
      <c r="AI95" s="100">
        <f t="shared" si="41"/>
        <v>0.56217751260731197</v>
      </c>
      <c r="AJ95" s="95">
        <f t="shared" si="42"/>
        <v>5908.1705555555563</v>
      </c>
      <c r="AK95" s="98">
        <f t="shared" si="43"/>
        <v>3852.3860555555566</v>
      </c>
      <c r="AL95" s="98">
        <f t="shared" si="44"/>
        <v>1027.8922500000001</v>
      </c>
      <c r="AM95" s="101">
        <f t="shared" si="45"/>
        <v>0.15</v>
      </c>
      <c r="AN95" s="98">
        <f t="shared" si="46"/>
        <v>1027.8922500000001</v>
      </c>
    </row>
    <row r="96" spans="1:40" x14ac:dyDescent="0.2">
      <c r="A96" s="92">
        <v>906</v>
      </c>
      <c r="B96" s="122">
        <v>46224</v>
      </c>
      <c r="C96" s="105">
        <v>90</v>
      </c>
      <c r="D96" s="121" t="s">
        <v>252</v>
      </c>
      <c r="E96" s="92">
        <v>906</v>
      </c>
      <c r="F96" s="102" t="s">
        <v>427</v>
      </c>
      <c r="G96" s="89" t="s">
        <v>55</v>
      </c>
      <c r="H96" s="93" t="s">
        <v>428</v>
      </c>
      <c r="I96" s="125" t="s">
        <v>427</v>
      </c>
      <c r="J96" s="89" t="s">
        <v>413</v>
      </c>
      <c r="K96" s="103" t="s">
        <v>429</v>
      </c>
      <c r="L96" s="89" t="s">
        <v>52</v>
      </c>
      <c r="M96" s="90" t="s">
        <v>415</v>
      </c>
      <c r="N96" s="90" t="s">
        <v>415</v>
      </c>
      <c r="O96" s="115">
        <v>7.3973230000000001</v>
      </c>
      <c r="P96" s="116">
        <v>187.66666670000001</v>
      </c>
      <c r="Q96" s="117">
        <v>43321</v>
      </c>
      <c r="R96" s="118">
        <f t="shared" si="47"/>
        <v>1444.0333333333333</v>
      </c>
      <c r="S96" s="94">
        <v>8</v>
      </c>
      <c r="T96" s="94">
        <f t="shared" si="33"/>
        <v>8</v>
      </c>
      <c r="U96" s="95">
        <v>349</v>
      </c>
      <c r="V96" s="96">
        <v>1</v>
      </c>
      <c r="W96" s="96">
        <v>30</v>
      </c>
      <c r="X96" s="94">
        <v>280</v>
      </c>
      <c r="Y96" s="94">
        <f t="shared" si="34"/>
        <v>67200</v>
      </c>
      <c r="Z96" s="101">
        <v>0.5</v>
      </c>
      <c r="AA96" s="101">
        <v>0.5</v>
      </c>
      <c r="AB96" s="97">
        <f t="shared" si="48"/>
        <v>1299630</v>
      </c>
      <c r="AC96" s="98">
        <f t="shared" si="35"/>
        <v>10470</v>
      </c>
      <c r="AD96" s="98">
        <f t="shared" si="36"/>
        <v>6.2032270723205833</v>
      </c>
      <c r="AE96" s="104">
        <f t="shared" si="37"/>
        <v>0.23</v>
      </c>
      <c r="AF96" s="99">
        <f t="shared" si="38"/>
        <v>8061.9000000000005</v>
      </c>
      <c r="AG96" s="95">
        <f t="shared" si="39"/>
        <v>944.44444444444446</v>
      </c>
      <c r="AH96" s="100">
        <f t="shared" si="40"/>
        <v>0.86217751260731201</v>
      </c>
      <c r="AI96" s="100">
        <f t="shared" si="41"/>
        <v>0.56217751260731197</v>
      </c>
      <c r="AJ96" s="95">
        <f t="shared" si="42"/>
        <v>5908.1705555555563</v>
      </c>
      <c r="AK96" s="98">
        <f t="shared" si="43"/>
        <v>3852.3860555555566</v>
      </c>
      <c r="AL96" s="98">
        <f t="shared" si="44"/>
        <v>1027.8922500000001</v>
      </c>
      <c r="AM96" s="101">
        <f t="shared" si="45"/>
        <v>0.15</v>
      </c>
      <c r="AN96" s="98">
        <f t="shared" si="46"/>
        <v>1027.8922500000001</v>
      </c>
    </row>
    <row r="97" spans="1:40" x14ac:dyDescent="0.2">
      <c r="A97" s="92">
        <v>907</v>
      </c>
      <c r="B97" s="122">
        <v>46226</v>
      </c>
      <c r="C97" s="105">
        <v>91</v>
      </c>
      <c r="D97" s="121" t="s">
        <v>252</v>
      </c>
      <c r="E97" s="92">
        <v>907</v>
      </c>
      <c r="F97" s="102" t="s">
        <v>258</v>
      </c>
      <c r="G97" s="89" t="s">
        <v>55</v>
      </c>
      <c r="H97" s="93" t="s">
        <v>430</v>
      </c>
      <c r="I97" s="125" t="s">
        <v>431</v>
      </c>
      <c r="J97" s="89" t="s">
        <v>413</v>
      </c>
      <c r="K97" s="103" t="s">
        <v>432</v>
      </c>
      <c r="L97" s="89" t="s">
        <v>52</v>
      </c>
      <c r="M97" s="90" t="s">
        <v>415</v>
      </c>
      <c r="N97" s="90" t="s">
        <v>415</v>
      </c>
      <c r="O97" s="115">
        <v>6.9823139999999997</v>
      </c>
      <c r="P97" s="116">
        <v>192.66666666666666</v>
      </c>
      <c r="Q97" s="117">
        <v>49752</v>
      </c>
      <c r="R97" s="118">
        <f t="shared" si="47"/>
        <v>1658.4</v>
      </c>
      <c r="S97" s="94">
        <v>8</v>
      </c>
      <c r="T97" s="94">
        <f t="shared" si="33"/>
        <v>8</v>
      </c>
      <c r="U97" s="95">
        <v>349</v>
      </c>
      <c r="V97" s="96">
        <v>1</v>
      </c>
      <c r="W97" s="96">
        <v>30</v>
      </c>
      <c r="X97" s="94">
        <v>280</v>
      </c>
      <c r="Y97" s="94">
        <f t="shared" si="34"/>
        <v>67200</v>
      </c>
      <c r="Z97" s="101">
        <v>0.5</v>
      </c>
      <c r="AA97" s="101">
        <v>0.5</v>
      </c>
      <c r="AB97" s="97">
        <f t="shared" si="48"/>
        <v>1492560</v>
      </c>
      <c r="AC97" s="98">
        <f t="shared" si="35"/>
        <v>10470</v>
      </c>
      <c r="AD97" s="98">
        <f t="shared" si="36"/>
        <v>5.4013908988583381</v>
      </c>
      <c r="AE97" s="104">
        <f t="shared" si="37"/>
        <v>0.23</v>
      </c>
      <c r="AF97" s="99">
        <f t="shared" si="38"/>
        <v>8061.9000000000005</v>
      </c>
      <c r="AG97" s="95">
        <f t="shared" si="39"/>
        <v>944.44444444444446</v>
      </c>
      <c r="AH97" s="100">
        <f t="shared" si="40"/>
        <v>0.86217751260731201</v>
      </c>
      <c r="AI97" s="100">
        <f t="shared" si="41"/>
        <v>0.56217751260731197</v>
      </c>
      <c r="AJ97" s="95">
        <f t="shared" si="42"/>
        <v>5908.1705555555563</v>
      </c>
      <c r="AK97" s="98">
        <f t="shared" si="43"/>
        <v>3852.3860555555566</v>
      </c>
      <c r="AL97" s="98">
        <f t="shared" si="44"/>
        <v>1027.8922500000001</v>
      </c>
      <c r="AM97" s="101">
        <f t="shared" si="45"/>
        <v>0.15</v>
      </c>
      <c r="AN97" s="98">
        <f t="shared" si="46"/>
        <v>1027.8922500000001</v>
      </c>
    </row>
    <row r="98" spans="1:40" x14ac:dyDescent="0.2">
      <c r="A98" s="92">
        <v>908</v>
      </c>
      <c r="B98" s="122" t="s">
        <v>281</v>
      </c>
      <c r="C98" s="105">
        <v>92</v>
      </c>
      <c r="D98" s="121" t="s">
        <v>252</v>
      </c>
      <c r="E98" s="92">
        <v>908</v>
      </c>
      <c r="F98" s="102" t="s">
        <v>266</v>
      </c>
      <c r="G98" s="89" t="s">
        <v>55</v>
      </c>
      <c r="H98" s="93" t="s">
        <v>433</v>
      </c>
      <c r="I98" s="125" t="s">
        <v>418</v>
      </c>
      <c r="J98" s="89" t="s">
        <v>413</v>
      </c>
      <c r="K98" s="103" t="s">
        <v>434</v>
      </c>
      <c r="L98" s="89" t="s">
        <v>52</v>
      </c>
      <c r="M98" s="90" t="s">
        <v>415</v>
      </c>
      <c r="N98" s="90" t="s">
        <v>415</v>
      </c>
      <c r="O98" s="115">
        <v>6.2919270000000003</v>
      </c>
      <c r="P98" s="116">
        <v>261.33333333333331</v>
      </c>
      <c r="Q98" s="117">
        <v>46235</v>
      </c>
      <c r="R98" s="118">
        <f t="shared" si="47"/>
        <v>1541.1666666666667</v>
      </c>
      <c r="S98" s="94">
        <v>8</v>
      </c>
      <c r="T98" s="94">
        <f t="shared" si="33"/>
        <v>8</v>
      </c>
      <c r="U98" s="95">
        <v>349</v>
      </c>
      <c r="V98" s="96">
        <v>1</v>
      </c>
      <c r="W98" s="96">
        <v>30</v>
      </c>
      <c r="X98" s="94">
        <v>280</v>
      </c>
      <c r="Y98" s="94">
        <f t="shared" si="34"/>
        <v>67200</v>
      </c>
      <c r="Z98" s="101">
        <v>0.5</v>
      </c>
      <c r="AA98" s="101">
        <v>0.5</v>
      </c>
      <c r="AB98" s="97">
        <f t="shared" si="48"/>
        <v>1387050</v>
      </c>
      <c r="AC98" s="98">
        <f t="shared" si="35"/>
        <v>10470</v>
      </c>
      <c r="AD98" s="98">
        <f t="shared" si="36"/>
        <v>5.8122634367903112</v>
      </c>
      <c r="AE98" s="104">
        <f t="shared" si="37"/>
        <v>0.23</v>
      </c>
      <c r="AF98" s="99">
        <f t="shared" si="38"/>
        <v>8061.9000000000005</v>
      </c>
      <c r="AG98" s="95">
        <f t="shared" si="39"/>
        <v>944.44444444444446</v>
      </c>
      <c r="AH98" s="100">
        <f t="shared" si="40"/>
        <v>0.86217751260731201</v>
      </c>
      <c r="AI98" s="100">
        <f t="shared" si="41"/>
        <v>0.56217751260731197</v>
      </c>
      <c r="AJ98" s="95">
        <f t="shared" si="42"/>
        <v>5908.1705555555563</v>
      </c>
      <c r="AK98" s="98">
        <f t="shared" si="43"/>
        <v>3852.3860555555566</v>
      </c>
      <c r="AL98" s="98">
        <f t="shared" si="44"/>
        <v>1027.8922500000001</v>
      </c>
      <c r="AM98" s="101">
        <f t="shared" si="45"/>
        <v>0.15</v>
      </c>
      <c r="AN98" s="98">
        <f t="shared" si="46"/>
        <v>1027.8922500000001</v>
      </c>
    </row>
    <row r="99" spans="1:40" x14ac:dyDescent="0.2">
      <c r="A99" s="92">
        <v>903</v>
      </c>
      <c r="B99" s="105" t="s">
        <v>281</v>
      </c>
      <c r="C99" s="105">
        <v>93</v>
      </c>
      <c r="D99" s="121" t="s">
        <v>252</v>
      </c>
      <c r="E99" s="92">
        <v>903</v>
      </c>
      <c r="F99" s="102" t="s">
        <v>435</v>
      </c>
      <c r="G99" s="89" t="s">
        <v>55</v>
      </c>
      <c r="H99" s="93" t="s">
        <v>436</v>
      </c>
      <c r="I99" s="125" t="s">
        <v>418</v>
      </c>
      <c r="J99" s="89" t="s">
        <v>413</v>
      </c>
      <c r="K99" s="103" t="s">
        <v>437</v>
      </c>
      <c r="L99" s="89" t="s">
        <v>52</v>
      </c>
      <c r="M99" s="90" t="s">
        <v>415</v>
      </c>
      <c r="N99" s="90" t="s">
        <v>415</v>
      </c>
      <c r="O99" s="115">
        <v>6.5134319999999999</v>
      </c>
      <c r="P99" s="116">
        <v>206.33333329999999</v>
      </c>
      <c r="Q99" s="117">
        <v>46452</v>
      </c>
      <c r="R99" s="118">
        <f t="shared" si="47"/>
        <v>1548.4</v>
      </c>
      <c r="S99" s="94">
        <v>8</v>
      </c>
      <c r="T99" s="94">
        <f t="shared" si="33"/>
        <v>8</v>
      </c>
      <c r="U99" s="95">
        <v>349</v>
      </c>
      <c r="V99" s="96">
        <v>1</v>
      </c>
      <c r="W99" s="96">
        <v>30</v>
      </c>
      <c r="X99" s="94">
        <v>280</v>
      </c>
      <c r="Y99" s="94">
        <f t="shared" si="34"/>
        <v>67200</v>
      </c>
      <c r="Z99" s="101">
        <v>0.5</v>
      </c>
      <c r="AA99" s="101">
        <v>0.5</v>
      </c>
      <c r="AB99" s="97">
        <f t="shared" si="48"/>
        <v>1393560</v>
      </c>
      <c r="AC99" s="98">
        <f t="shared" si="35"/>
        <v>10470</v>
      </c>
      <c r="AD99" s="98">
        <f t="shared" si="36"/>
        <v>5.7851115129596149</v>
      </c>
      <c r="AE99" s="104">
        <f t="shared" si="37"/>
        <v>0.23</v>
      </c>
      <c r="AF99" s="99">
        <f t="shared" si="38"/>
        <v>8061.9000000000005</v>
      </c>
      <c r="AG99" s="95">
        <f t="shared" si="39"/>
        <v>944.44444444444446</v>
      </c>
      <c r="AH99" s="100">
        <f t="shared" si="40"/>
        <v>0.86217751260731201</v>
      </c>
      <c r="AI99" s="100">
        <f t="shared" si="41"/>
        <v>0.56217751260731197</v>
      </c>
      <c r="AJ99" s="95">
        <f t="shared" si="42"/>
        <v>5908.1705555555563</v>
      </c>
      <c r="AK99" s="98">
        <f t="shared" si="43"/>
        <v>3852.3860555555566</v>
      </c>
      <c r="AL99" s="98">
        <f t="shared" si="44"/>
        <v>1027.8922500000001</v>
      </c>
      <c r="AM99" s="101">
        <f t="shared" si="45"/>
        <v>0.15</v>
      </c>
      <c r="AN99" s="98">
        <f t="shared" si="46"/>
        <v>1027.8922500000001</v>
      </c>
    </row>
    <row r="100" spans="1:40" x14ac:dyDescent="0.2">
      <c r="A100" s="92">
        <v>909</v>
      </c>
      <c r="B100" s="122">
        <v>46229</v>
      </c>
      <c r="C100" s="105">
        <v>94</v>
      </c>
      <c r="D100" s="121" t="s">
        <v>252</v>
      </c>
      <c r="E100" s="92">
        <v>909</v>
      </c>
      <c r="F100" s="102" t="s">
        <v>270</v>
      </c>
      <c r="G100" s="89" t="s">
        <v>55</v>
      </c>
      <c r="H100" s="93" t="s">
        <v>438</v>
      </c>
      <c r="I100" s="125" t="s">
        <v>270</v>
      </c>
      <c r="J100" s="89" t="s">
        <v>413</v>
      </c>
      <c r="K100" s="103" t="s">
        <v>439</v>
      </c>
      <c r="L100" s="89" t="s">
        <v>52</v>
      </c>
      <c r="M100" s="90" t="s">
        <v>415</v>
      </c>
      <c r="N100" s="90" t="s">
        <v>415</v>
      </c>
      <c r="O100" s="115">
        <v>4.294842</v>
      </c>
      <c r="P100" s="116">
        <v>217</v>
      </c>
      <c r="Q100" s="117">
        <v>17844.333333333332</v>
      </c>
      <c r="R100" s="118">
        <f t="shared" si="47"/>
        <v>594.81111111111102</v>
      </c>
      <c r="S100" s="94">
        <v>8</v>
      </c>
      <c r="T100" s="94">
        <f t="shared" si="33"/>
        <v>8</v>
      </c>
      <c r="U100" s="95">
        <v>349</v>
      </c>
      <c r="V100" s="96">
        <v>1</v>
      </c>
      <c r="W100" s="96">
        <v>30</v>
      </c>
      <c r="X100" s="94">
        <v>280</v>
      </c>
      <c r="Y100" s="94">
        <f t="shared" si="34"/>
        <v>67200</v>
      </c>
      <c r="Z100" s="101">
        <v>0.5</v>
      </c>
      <c r="AA100" s="101">
        <v>0.5</v>
      </c>
      <c r="AB100" s="97">
        <f t="shared" si="48"/>
        <v>535330</v>
      </c>
      <c r="AC100" s="98">
        <f t="shared" si="35"/>
        <v>10470</v>
      </c>
      <c r="AD100" s="98">
        <f t="shared" si="36"/>
        <v>15.059682812470813</v>
      </c>
      <c r="AE100" s="104">
        <f t="shared" si="37"/>
        <v>0.23</v>
      </c>
      <c r="AF100" s="99">
        <f t="shared" si="38"/>
        <v>8061.9000000000005</v>
      </c>
      <c r="AG100" s="95">
        <f t="shared" si="39"/>
        <v>944.44444444444446</v>
      </c>
      <c r="AH100" s="100">
        <f t="shared" si="40"/>
        <v>0.86217751260731201</v>
      </c>
      <c r="AI100" s="100">
        <f t="shared" si="41"/>
        <v>0.56217751260731197</v>
      </c>
      <c r="AJ100" s="95">
        <f t="shared" si="42"/>
        <v>5908.1705555555563</v>
      </c>
      <c r="AK100" s="98">
        <f t="shared" si="43"/>
        <v>3852.3860555555566</v>
      </c>
      <c r="AL100" s="98">
        <f t="shared" si="44"/>
        <v>1027.8922500000001</v>
      </c>
      <c r="AM100" s="101">
        <f t="shared" si="45"/>
        <v>0.15</v>
      </c>
      <c r="AN100" s="98">
        <f t="shared" si="46"/>
        <v>1027.8922500000001</v>
      </c>
    </row>
    <row r="101" spans="1:40" x14ac:dyDescent="0.2">
      <c r="A101" s="92">
        <v>904</v>
      </c>
      <c r="B101" s="122">
        <v>46228</v>
      </c>
      <c r="C101" s="105">
        <v>95</v>
      </c>
      <c r="D101" s="121" t="s">
        <v>252</v>
      </c>
      <c r="E101" s="92">
        <v>904</v>
      </c>
      <c r="F101" s="102" t="s">
        <v>268</v>
      </c>
      <c r="G101" s="89" t="s">
        <v>55</v>
      </c>
      <c r="H101" s="93" t="s">
        <v>440</v>
      </c>
      <c r="I101" s="125" t="s">
        <v>418</v>
      </c>
      <c r="J101" s="89" t="s">
        <v>413</v>
      </c>
      <c r="K101" s="103" t="s">
        <v>441</v>
      </c>
      <c r="L101" s="89" t="s">
        <v>52</v>
      </c>
      <c r="M101" s="90" t="s">
        <v>415</v>
      </c>
      <c r="N101" s="90" t="s">
        <v>415</v>
      </c>
      <c r="O101" s="115">
        <v>8.8221270000000001</v>
      </c>
      <c r="P101" s="116">
        <v>118.66666666666667</v>
      </c>
      <c r="Q101" s="117">
        <v>43338</v>
      </c>
      <c r="R101" s="118">
        <f t="shared" si="47"/>
        <v>1444.6</v>
      </c>
      <c r="S101" s="94">
        <v>8</v>
      </c>
      <c r="T101" s="94">
        <f t="shared" si="33"/>
        <v>8</v>
      </c>
      <c r="U101" s="95">
        <v>349</v>
      </c>
      <c r="V101" s="96">
        <v>1</v>
      </c>
      <c r="W101" s="96">
        <v>30</v>
      </c>
      <c r="X101" s="94">
        <v>280</v>
      </c>
      <c r="Y101" s="94">
        <f t="shared" si="34"/>
        <v>67200</v>
      </c>
      <c r="Z101" s="101">
        <v>0.5</v>
      </c>
      <c r="AA101" s="101">
        <v>0.5</v>
      </c>
      <c r="AB101" s="97">
        <f t="shared" si="48"/>
        <v>1300140</v>
      </c>
      <c r="AC101" s="98">
        <f t="shared" si="35"/>
        <v>10470</v>
      </c>
      <c r="AD101" s="98">
        <f t="shared" si="36"/>
        <v>6.2007937606719272</v>
      </c>
      <c r="AE101" s="104">
        <f t="shared" si="37"/>
        <v>0.23</v>
      </c>
      <c r="AF101" s="99">
        <f t="shared" si="38"/>
        <v>8061.9000000000005</v>
      </c>
      <c r="AG101" s="95">
        <f t="shared" si="39"/>
        <v>944.44444444444446</v>
      </c>
      <c r="AH101" s="100">
        <f t="shared" si="40"/>
        <v>0.86217751260731201</v>
      </c>
      <c r="AI101" s="100">
        <f t="shared" si="41"/>
        <v>0.56217751260731197</v>
      </c>
      <c r="AJ101" s="95">
        <f t="shared" si="42"/>
        <v>5908.1705555555563</v>
      </c>
      <c r="AK101" s="98">
        <f t="shared" si="43"/>
        <v>3852.3860555555566</v>
      </c>
      <c r="AL101" s="98">
        <f t="shared" si="44"/>
        <v>1027.8922500000001</v>
      </c>
      <c r="AM101" s="101">
        <f t="shared" si="45"/>
        <v>0.15</v>
      </c>
      <c r="AN101" s="98">
        <f t="shared" si="46"/>
        <v>1027.8922500000001</v>
      </c>
    </row>
    <row r="102" spans="1:40" x14ac:dyDescent="0.2">
      <c r="A102" s="92">
        <v>915</v>
      </c>
      <c r="B102" s="122">
        <v>46225</v>
      </c>
      <c r="C102" s="105">
        <v>96</v>
      </c>
      <c r="D102" s="121" t="s">
        <v>252</v>
      </c>
      <c r="E102" s="92">
        <v>915</v>
      </c>
      <c r="F102" s="102" t="s">
        <v>276</v>
      </c>
      <c r="G102" s="89" t="s">
        <v>55</v>
      </c>
      <c r="H102" s="93" t="s">
        <v>442</v>
      </c>
      <c r="I102" s="125" t="s">
        <v>276</v>
      </c>
      <c r="J102" s="89" t="s">
        <v>413</v>
      </c>
      <c r="K102" s="103" t="s">
        <v>443</v>
      </c>
      <c r="L102" s="89" t="s">
        <v>52</v>
      </c>
      <c r="M102" s="90" t="s">
        <v>415</v>
      </c>
      <c r="N102" s="90" t="s">
        <v>415</v>
      </c>
      <c r="O102" s="115">
        <v>4.209225</v>
      </c>
      <c r="P102" s="116">
        <v>199.66666666666666</v>
      </c>
      <c r="Q102" s="117">
        <v>12463.666666666666</v>
      </c>
      <c r="R102" s="118">
        <f t="shared" si="47"/>
        <v>415.45555555555552</v>
      </c>
      <c r="S102" s="94">
        <v>8</v>
      </c>
      <c r="T102" s="94">
        <f t="shared" si="33"/>
        <v>8</v>
      </c>
      <c r="U102" s="95">
        <v>349</v>
      </c>
      <c r="V102" s="96">
        <v>1</v>
      </c>
      <c r="W102" s="96">
        <v>30</v>
      </c>
      <c r="X102" s="94">
        <v>280</v>
      </c>
      <c r="Y102" s="94">
        <f t="shared" si="34"/>
        <v>67200</v>
      </c>
      <c r="Z102" s="101">
        <v>0.5</v>
      </c>
      <c r="AA102" s="101">
        <v>0.5</v>
      </c>
      <c r="AB102" s="97">
        <f t="shared" si="48"/>
        <v>373910</v>
      </c>
      <c r="AC102" s="98">
        <f t="shared" si="35"/>
        <v>10470</v>
      </c>
      <c r="AD102" s="98">
        <f t="shared" si="36"/>
        <v>21.561070845925489</v>
      </c>
      <c r="AE102" s="104">
        <f t="shared" si="37"/>
        <v>0.23</v>
      </c>
      <c r="AF102" s="99">
        <f t="shared" si="38"/>
        <v>8061.9000000000005</v>
      </c>
      <c r="AG102" s="95">
        <f t="shared" si="39"/>
        <v>944.44444444444446</v>
      </c>
      <c r="AH102" s="100">
        <f t="shared" si="40"/>
        <v>0.86217751260731201</v>
      </c>
      <c r="AI102" s="100">
        <f t="shared" si="41"/>
        <v>0.56217751260731197</v>
      </c>
      <c r="AJ102" s="95">
        <f t="shared" si="42"/>
        <v>5908.1705555555563</v>
      </c>
      <c r="AK102" s="98">
        <f t="shared" si="43"/>
        <v>3852.3860555555566</v>
      </c>
      <c r="AL102" s="98">
        <f t="shared" si="44"/>
        <v>1027.8922500000001</v>
      </c>
      <c r="AM102" s="101">
        <f t="shared" si="45"/>
        <v>0.15</v>
      </c>
      <c r="AN102" s="98">
        <f t="shared" si="46"/>
        <v>1027.8922500000001</v>
      </c>
    </row>
    <row r="103" spans="1:40" x14ac:dyDescent="0.2">
      <c r="A103" s="92">
        <v>913</v>
      </c>
      <c r="B103" s="105" t="s">
        <v>281</v>
      </c>
      <c r="C103" s="105">
        <v>97</v>
      </c>
      <c r="D103" s="121" t="s">
        <v>252</v>
      </c>
      <c r="E103" s="92">
        <v>913</v>
      </c>
      <c r="F103" s="102" t="s">
        <v>444</v>
      </c>
      <c r="G103" s="89" t="s">
        <v>55</v>
      </c>
      <c r="H103" s="93" t="s">
        <v>445</v>
      </c>
      <c r="I103" s="125" t="s">
        <v>418</v>
      </c>
      <c r="J103" s="89" t="s">
        <v>413</v>
      </c>
      <c r="K103" s="103" t="s">
        <v>446</v>
      </c>
      <c r="L103" s="89" t="s">
        <v>52</v>
      </c>
      <c r="M103" s="90" t="s">
        <v>415</v>
      </c>
      <c r="N103" s="90" t="s">
        <v>415</v>
      </c>
      <c r="O103" s="115">
        <v>6</v>
      </c>
      <c r="P103" s="116">
        <v>213.33333329999999</v>
      </c>
      <c r="Q103" s="117">
        <v>42389</v>
      </c>
      <c r="R103" s="118">
        <f t="shared" si="47"/>
        <v>1412.9666666666667</v>
      </c>
      <c r="S103" s="94">
        <v>8</v>
      </c>
      <c r="T103" s="94">
        <f t="shared" ref="T103:T134" si="49">IF(AND(V103&gt;0,W103&gt;0),S103,0)</f>
        <v>8</v>
      </c>
      <c r="U103" s="95">
        <v>349</v>
      </c>
      <c r="V103" s="96">
        <v>1</v>
      </c>
      <c r="W103" s="96">
        <v>30</v>
      </c>
      <c r="X103" s="94">
        <v>280</v>
      </c>
      <c r="Y103" s="94">
        <f t="shared" ref="Y103:Y134" si="50">X103*W103*T103</f>
        <v>67200</v>
      </c>
      <c r="Z103" s="101">
        <v>0.5</v>
      </c>
      <c r="AA103" s="101">
        <v>0.5</v>
      </c>
      <c r="AB103" s="97">
        <f t="shared" si="48"/>
        <v>1271670</v>
      </c>
      <c r="AC103" s="98">
        <f t="shared" si="35"/>
        <v>10470</v>
      </c>
      <c r="AD103" s="98">
        <f t="shared" si="36"/>
        <v>6.3396164099176673</v>
      </c>
      <c r="AE103" s="104">
        <f t="shared" si="37"/>
        <v>0.23</v>
      </c>
      <c r="AF103" s="99">
        <f t="shared" ref="AF103:AF134" si="51">AC103*(1-AE103)</f>
        <v>8061.9000000000005</v>
      </c>
      <c r="AG103" s="95">
        <f t="shared" si="39"/>
        <v>944.44444444444446</v>
      </c>
      <c r="AH103" s="100">
        <f t="shared" ref="AH103:AH134" si="52">IFERROR(((AF103*0.85)-AG103)/(AF103*0.85),0)</f>
        <v>0.86217751260731201</v>
      </c>
      <c r="AI103" s="100">
        <f t="shared" si="41"/>
        <v>0.56217751260731197</v>
      </c>
      <c r="AJ103" s="95">
        <f t="shared" si="42"/>
        <v>5908.1705555555563</v>
      </c>
      <c r="AK103" s="98">
        <f t="shared" ref="AK103:AK134" si="53">(AF103*0.85)-AG103-AL103-AN103</f>
        <v>3852.3860555555566</v>
      </c>
      <c r="AL103" s="98">
        <f t="shared" ref="AL103:AL134" si="54">((AF103*0.85)*(0.3-AM103))</f>
        <v>1027.8922500000001</v>
      </c>
      <c r="AM103" s="101">
        <f t="shared" si="45"/>
        <v>0.15</v>
      </c>
      <c r="AN103" s="98">
        <f t="shared" ref="AN103:AN134" si="55">AM103*(AF103*0.85)</f>
        <v>1027.8922500000001</v>
      </c>
    </row>
    <row r="104" spans="1:40" x14ac:dyDescent="0.2">
      <c r="A104" s="92">
        <v>910</v>
      </c>
      <c r="B104" s="122">
        <v>46231</v>
      </c>
      <c r="C104" s="105">
        <v>98</v>
      </c>
      <c r="D104" s="121" t="s">
        <v>252</v>
      </c>
      <c r="E104" s="92">
        <v>910</v>
      </c>
      <c r="F104" s="102" t="s">
        <v>278</v>
      </c>
      <c r="G104" s="89" t="s">
        <v>55</v>
      </c>
      <c r="H104" s="93" t="s">
        <v>447</v>
      </c>
      <c r="I104" s="125" t="s">
        <v>448</v>
      </c>
      <c r="J104" s="89" t="s">
        <v>413</v>
      </c>
      <c r="K104" s="103" t="s">
        <v>449</v>
      </c>
      <c r="L104" s="89" t="s">
        <v>52</v>
      </c>
      <c r="M104" s="90" t="s">
        <v>415</v>
      </c>
      <c r="N104" s="90" t="s">
        <v>415</v>
      </c>
      <c r="O104" s="115">
        <v>7.7062049999999997</v>
      </c>
      <c r="P104" s="116">
        <v>134.66666666666666</v>
      </c>
      <c r="Q104" s="117">
        <v>33008.666666666664</v>
      </c>
      <c r="R104" s="118">
        <f t="shared" si="47"/>
        <v>1100.2888888888888</v>
      </c>
      <c r="S104" s="94">
        <v>8</v>
      </c>
      <c r="T104" s="94">
        <f t="shared" si="49"/>
        <v>8</v>
      </c>
      <c r="U104" s="95">
        <v>349</v>
      </c>
      <c r="V104" s="96">
        <v>1</v>
      </c>
      <c r="W104" s="96">
        <v>30</v>
      </c>
      <c r="X104" s="94">
        <v>280</v>
      </c>
      <c r="Y104" s="94">
        <f t="shared" si="50"/>
        <v>67200</v>
      </c>
      <c r="Z104" s="101">
        <v>0.5</v>
      </c>
      <c r="AA104" s="101">
        <v>0.5</v>
      </c>
      <c r="AB104" s="97">
        <f t="shared" si="48"/>
        <v>990259.99999999988</v>
      </c>
      <c r="AC104" s="98">
        <f t="shared" si="35"/>
        <v>10470</v>
      </c>
      <c r="AD104" s="98">
        <f t="shared" si="36"/>
        <v>8.1411952416537083</v>
      </c>
      <c r="AE104" s="104">
        <f t="shared" si="37"/>
        <v>0.23</v>
      </c>
      <c r="AF104" s="99">
        <f t="shared" si="51"/>
        <v>8061.9000000000005</v>
      </c>
      <c r="AG104" s="95">
        <f t="shared" si="39"/>
        <v>944.44444444444446</v>
      </c>
      <c r="AH104" s="100">
        <f t="shared" si="52"/>
        <v>0.86217751260731201</v>
      </c>
      <c r="AI104" s="100">
        <f t="shared" si="41"/>
        <v>0.56217751260731197</v>
      </c>
      <c r="AJ104" s="95">
        <f t="shared" si="42"/>
        <v>5908.1705555555563</v>
      </c>
      <c r="AK104" s="98">
        <f t="shared" si="53"/>
        <v>3852.3860555555566</v>
      </c>
      <c r="AL104" s="98">
        <f t="shared" si="54"/>
        <v>1027.8922500000001</v>
      </c>
      <c r="AM104" s="101">
        <f t="shared" si="45"/>
        <v>0.15</v>
      </c>
      <c r="AN104" s="98">
        <f t="shared" si="55"/>
        <v>1027.8922500000001</v>
      </c>
    </row>
    <row r="105" spans="1:40" x14ac:dyDescent="0.2">
      <c r="A105" s="92">
        <v>911</v>
      </c>
      <c r="B105" s="122">
        <v>46227</v>
      </c>
      <c r="C105" s="105">
        <v>99</v>
      </c>
      <c r="D105" s="121" t="s">
        <v>252</v>
      </c>
      <c r="E105" s="92">
        <v>911</v>
      </c>
      <c r="F105" s="102" t="s">
        <v>274</v>
      </c>
      <c r="G105" s="89" t="s">
        <v>55</v>
      </c>
      <c r="H105" s="93" t="s">
        <v>450</v>
      </c>
      <c r="I105" s="125" t="s">
        <v>418</v>
      </c>
      <c r="J105" s="89" t="s">
        <v>413</v>
      </c>
      <c r="K105" s="103" t="s">
        <v>451</v>
      </c>
      <c r="L105" s="89" t="s">
        <v>52</v>
      </c>
      <c r="M105" s="90" t="s">
        <v>415</v>
      </c>
      <c r="N105" s="90" t="s">
        <v>415</v>
      </c>
      <c r="O105" s="115">
        <v>7.242</v>
      </c>
      <c r="P105" s="116">
        <v>156</v>
      </c>
      <c r="Q105" s="117">
        <v>36211.666666666664</v>
      </c>
      <c r="R105" s="118">
        <f t="shared" si="47"/>
        <v>1207.0555555555554</v>
      </c>
      <c r="S105" s="94">
        <v>8</v>
      </c>
      <c r="T105" s="94">
        <f t="shared" si="49"/>
        <v>8</v>
      </c>
      <c r="U105" s="95">
        <v>349</v>
      </c>
      <c r="V105" s="96">
        <v>1</v>
      </c>
      <c r="W105" s="96">
        <v>30</v>
      </c>
      <c r="X105" s="94">
        <v>280</v>
      </c>
      <c r="Y105" s="94">
        <f t="shared" si="50"/>
        <v>67200</v>
      </c>
      <c r="Z105" s="101">
        <v>0.5</v>
      </c>
      <c r="AA105" s="101">
        <v>0.5</v>
      </c>
      <c r="AB105" s="97">
        <f t="shared" si="48"/>
        <v>1086350</v>
      </c>
      <c r="AC105" s="98">
        <f t="shared" si="35"/>
        <v>10470</v>
      </c>
      <c r="AD105" s="98">
        <f t="shared" si="36"/>
        <v>7.4210889676439464</v>
      </c>
      <c r="AE105" s="104">
        <f t="shared" si="37"/>
        <v>0.23</v>
      </c>
      <c r="AF105" s="99">
        <f t="shared" si="51"/>
        <v>8061.9000000000005</v>
      </c>
      <c r="AG105" s="95">
        <f t="shared" si="39"/>
        <v>944.44444444444446</v>
      </c>
      <c r="AH105" s="100">
        <f t="shared" si="52"/>
        <v>0.86217751260731201</v>
      </c>
      <c r="AI105" s="100">
        <f t="shared" si="41"/>
        <v>0.56217751260731197</v>
      </c>
      <c r="AJ105" s="95">
        <f t="shared" si="42"/>
        <v>5908.1705555555563</v>
      </c>
      <c r="AK105" s="98">
        <f t="shared" si="53"/>
        <v>3852.3860555555566</v>
      </c>
      <c r="AL105" s="98">
        <f t="shared" si="54"/>
        <v>1027.8922500000001</v>
      </c>
      <c r="AM105" s="101">
        <f t="shared" si="45"/>
        <v>0.15</v>
      </c>
      <c r="AN105" s="98">
        <f t="shared" si="55"/>
        <v>1027.8922500000001</v>
      </c>
    </row>
    <row r="106" spans="1:40" s="123" customFormat="1" x14ac:dyDescent="0.2">
      <c r="A106" s="92"/>
      <c r="B106" s="122" t="s">
        <v>452</v>
      </c>
      <c r="C106" s="105">
        <v>100</v>
      </c>
      <c r="D106" s="121" t="s">
        <v>252</v>
      </c>
      <c r="E106" s="92"/>
      <c r="F106" s="102" t="s">
        <v>453</v>
      </c>
      <c r="G106" s="89"/>
      <c r="H106" s="93" t="s">
        <v>454</v>
      </c>
      <c r="I106" s="125" t="s">
        <v>455</v>
      </c>
      <c r="J106" s="89" t="s">
        <v>413</v>
      </c>
      <c r="K106" s="103" t="s">
        <v>456</v>
      </c>
      <c r="L106" s="89"/>
      <c r="M106" s="90"/>
      <c r="N106" s="90"/>
      <c r="O106" s="115"/>
      <c r="P106" s="116"/>
      <c r="Q106" s="117"/>
      <c r="R106" s="118"/>
      <c r="S106" s="94"/>
      <c r="T106" s="94"/>
      <c r="U106" s="95">
        <v>349</v>
      </c>
      <c r="V106" s="96">
        <v>1</v>
      </c>
      <c r="W106" s="96">
        <v>30</v>
      </c>
      <c r="X106" s="94">
        <v>280</v>
      </c>
      <c r="Y106" s="94">
        <f t="shared" si="50"/>
        <v>0</v>
      </c>
      <c r="Z106" s="101">
        <v>0.5</v>
      </c>
      <c r="AA106" s="101">
        <v>0.5</v>
      </c>
      <c r="AB106" s="97">
        <f t="shared" si="48"/>
        <v>0</v>
      </c>
      <c r="AC106" s="98"/>
      <c r="AD106" s="98"/>
      <c r="AE106" s="104"/>
      <c r="AF106" s="99"/>
      <c r="AG106" s="95"/>
      <c r="AH106" s="100"/>
      <c r="AI106" s="100"/>
      <c r="AJ106" s="95"/>
      <c r="AK106" s="98"/>
      <c r="AL106" s="98"/>
      <c r="AM106" s="101"/>
      <c r="AN106" s="98"/>
    </row>
  </sheetData>
  <sheetProtection sort="0" autoFilter="0" pivotTables="0"/>
  <autoFilter ref="B6:AN106" xr:uid="{88925D76-39CB-48EB-8F05-B6FA2A141532}">
    <sortState xmlns:xlrd2="http://schemas.microsoft.com/office/spreadsheetml/2017/richdata2" ref="B7:AN105">
      <sortCondition ref="C6:C105"/>
    </sortState>
  </autoFilter>
  <mergeCells count="1">
    <mergeCell ref="G5:P5"/>
  </mergeCell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12111f-6851-4222-92f2-559ec239e938">
      <Terms xmlns="http://schemas.microsoft.com/office/infopath/2007/PartnerControls"/>
    </lcf76f155ced4ddcb4097134ff3c332f>
    <TaxCatchAll xmlns="0ac7da65-2161-455c-a552-3d2b9cb5a1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E2BDFF20278149803EEB8F59FDAB21" ma:contentTypeVersion="13" ma:contentTypeDescription="Crear nuevo documento." ma:contentTypeScope="" ma:versionID="7e3ed7eb37d61e94f8a54a3bce70f746">
  <xsd:schema xmlns:xsd="http://www.w3.org/2001/XMLSchema" xmlns:xs="http://www.w3.org/2001/XMLSchema" xmlns:p="http://schemas.microsoft.com/office/2006/metadata/properties" xmlns:ns2="5612111f-6851-4222-92f2-559ec239e938" xmlns:ns3="0ac7da65-2161-455c-a552-3d2b9cb5a1ab" targetNamespace="http://schemas.microsoft.com/office/2006/metadata/properties" ma:root="true" ma:fieldsID="6ba89db1236cc15a98e0d0d567f8fd2e" ns2:_="" ns3:_="">
    <xsd:import namespace="5612111f-6851-4222-92f2-559ec239e938"/>
    <xsd:import namespace="0ac7da65-2161-455c-a552-3d2b9cb5a1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2111f-6851-4222-92f2-559ec239e9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e9e73d8-5e95-4c28-afa1-90bb81f962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7da65-2161-455c-a552-3d2b9cb5a1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7dbb60-726e-41eb-bba1-b95e71372fa7}" ma:internalName="TaxCatchAll" ma:showField="CatchAllData" ma:web="0ac7da65-2161-455c-a552-3d2b9cb5a1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0B943-416B-4355-AB83-E6029DF7C31C}">
  <ds:schemaRefs>
    <ds:schemaRef ds:uri="http://schemas.microsoft.com/office/2006/metadata/properties"/>
    <ds:schemaRef ds:uri="http://schemas.microsoft.com/office/infopath/2007/PartnerControls"/>
    <ds:schemaRef ds:uri="5612111f-6851-4222-92f2-559ec239e938"/>
    <ds:schemaRef ds:uri="0ac7da65-2161-455c-a552-3d2b9cb5a1ab"/>
  </ds:schemaRefs>
</ds:datastoreItem>
</file>

<file path=customXml/itemProps2.xml><?xml version="1.0" encoding="utf-8"?>
<ds:datastoreItem xmlns:ds="http://schemas.openxmlformats.org/officeDocument/2006/customXml" ds:itemID="{E90F4F52-5267-4F71-B9F5-4A78E8097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295836-4E4B-4DEE-AC3B-D56C3ADDC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12111f-6851-4222-92f2-559ec239e938"/>
    <ds:schemaRef ds:uri="0ac7da65-2161-455c-a552-3d2b9cb5a1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CM DOOH - Proposta (interna)</vt:lpstr>
      <vt:lpstr>Proposta DOOH - Simulador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Fernandes</dc:creator>
  <cp:keywords/>
  <dc:description/>
  <cp:lastModifiedBy>Caio Logato</cp:lastModifiedBy>
  <cp:revision/>
  <dcterms:created xsi:type="dcterms:W3CDTF">2024-10-18T12:31:02Z</dcterms:created>
  <dcterms:modified xsi:type="dcterms:W3CDTF">2026-08-14T14:32:25Z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2024-10-18T12:30:48Z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85a52eff-3d71-4d72-b7ba-e9f19c3eb832</vt:lpwstr>
  </property>
  <property fmtid="{D5CDD505-2E9C-101B-9397-08002B2CF9AE}" pid="7" name="MSIP_Label_defa4170-0d19-0005-0004-bc88714345d2_ActionId">
    <vt:lpwstr>2f3a3651-dd94-4c26-a4fb-9a534b9a571e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0x01010077E2BDFF20278149803EEB8F59FDAB21</vt:lpwstr>
  </property>
</Properties>
</file>